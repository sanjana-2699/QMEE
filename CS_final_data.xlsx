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Lenovo/Desktop/phd2022/TxS/citrate_synthase/"/>
    </mc:Choice>
  </mc:AlternateContent>
  <xr:revisionPtr revIDLastSave="0" documentId="13_ncr:1_{B3E3A8BF-198A-7344-B7F9-25DB8872F2C1}" xr6:coauthVersionLast="47" xr6:coauthVersionMax="47" xr10:uidLastSave="{00000000-0000-0000-0000-000000000000}"/>
  <bookViews>
    <workbookView xWindow="0" yWindow="780" windowWidth="34200" windowHeight="19660" activeTab="1" xr2:uid="{106D4FC5-7FF7-46BA-8D94-70F034DEF06F}"/>
  </bookViews>
  <sheets>
    <sheet name="final_data" sheetId="4" r:id="rId1"/>
    <sheet name="BSA" sheetId="3" r:id="rId2"/>
    <sheet name="24C" sheetId="2" r:id="rId3"/>
    <sheet name="16C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4" l="1"/>
  <c r="M27" i="4"/>
  <c r="M26" i="4"/>
  <c r="M6" i="4"/>
  <c r="M5" i="4"/>
  <c r="M4" i="4"/>
  <c r="M3" i="4"/>
  <c r="M2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X5" i="3" l="1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4" i="3"/>
  <c r="J44" i="4" l="1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2" i="4"/>
  <c r="AG102" i="2" l="1"/>
  <c r="AG85" i="2"/>
  <c r="AF102" i="2"/>
  <c r="AF85" i="2"/>
  <c r="AE102" i="2"/>
  <c r="AE85" i="2"/>
  <c r="AD102" i="2"/>
  <c r="AD85" i="2"/>
  <c r="AC102" i="2"/>
  <c r="AC85" i="2"/>
  <c r="AB102" i="2"/>
  <c r="AB85" i="2"/>
  <c r="AA102" i="2"/>
  <c r="AA85" i="2"/>
  <c r="Z102" i="2"/>
  <c r="Z85" i="2"/>
  <c r="Y102" i="2"/>
  <c r="Y85" i="2"/>
  <c r="X102" i="2"/>
  <c r="X85" i="2"/>
  <c r="W102" i="2"/>
  <c r="W85" i="2"/>
  <c r="V102" i="2"/>
  <c r="V85" i="2"/>
  <c r="U102" i="2"/>
  <c r="U85" i="2"/>
  <c r="T102" i="2"/>
  <c r="T85" i="2"/>
  <c r="S102" i="2"/>
  <c r="S85" i="2"/>
  <c r="R102" i="2"/>
  <c r="R85" i="2"/>
  <c r="Q102" i="2"/>
  <c r="Q85" i="2"/>
  <c r="P102" i="2"/>
  <c r="P85" i="2"/>
  <c r="O102" i="2"/>
  <c r="O85" i="2"/>
  <c r="N102" i="2"/>
  <c r="N85" i="2"/>
  <c r="M102" i="2"/>
  <c r="M85" i="2"/>
  <c r="L102" i="2"/>
  <c r="L85" i="2"/>
  <c r="K102" i="2"/>
  <c r="K85" i="2"/>
  <c r="J102" i="2"/>
  <c r="J85" i="2"/>
  <c r="I102" i="2"/>
  <c r="I85" i="2"/>
  <c r="H102" i="2"/>
  <c r="H85" i="2"/>
  <c r="G102" i="2"/>
  <c r="G85" i="2"/>
  <c r="F102" i="2"/>
  <c r="F85" i="2"/>
  <c r="E102" i="2"/>
  <c r="E85" i="2"/>
  <c r="D102" i="2"/>
  <c r="D85" i="2"/>
  <c r="C102" i="2"/>
  <c r="C85" i="2"/>
  <c r="B102" i="2"/>
  <c r="B85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AK17" i="2"/>
  <c r="AI17" i="2"/>
  <c r="AC52" i="1"/>
  <c r="T52" i="1"/>
  <c r="J52" i="1"/>
  <c r="AM34" i="1"/>
  <c r="AC34" i="1"/>
  <c r="T34" i="1"/>
  <c r="J34" i="1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5" i="3"/>
  <c r="V4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P9" i="3"/>
  <c r="P8" i="3"/>
  <c r="P7" i="3"/>
  <c r="P6" i="3"/>
  <c r="P5" i="3"/>
  <c r="P4" i="3"/>
  <c r="P10" i="3"/>
  <c r="AM38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I51" i="2"/>
  <c r="J51" i="2"/>
  <c r="K51" i="2"/>
  <c r="L51" i="2"/>
  <c r="M51" i="2"/>
  <c r="N51" i="2"/>
  <c r="O51" i="2"/>
  <c r="P51" i="2"/>
  <c r="C51" i="2"/>
  <c r="D51" i="2"/>
  <c r="E51" i="2"/>
  <c r="F51" i="2"/>
  <c r="G51" i="2"/>
  <c r="H51" i="2"/>
  <c r="B51" i="2"/>
  <c r="AM21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G34" i="2"/>
  <c r="H34" i="2"/>
  <c r="I34" i="2"/>
  <c r="J34" i="2"/>
  <c r="C34" i="2"/>
  <c r="D34" i="2"/>
  <c r="E34" i="2"/>
  <c r="F34" i="2"/>
  <c r="B34" i="2"/>
  <c r="AH17" i="2"/>
  <c r="AJ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K17" i="2"/>
  <c r="L17" i="2"/>
  <c r="M17" i="2"/>
  <c r="N17" i="2"/>
  <c r="O17" i="2"/>
  <c r="P17" i="2"/>
  <c r="Q17" i="2"/>
  <c r="R17" i="2"/>
  <c r="S17" i="2"/>
  <c r="T17" i="2"/>
  <c r="C17" i="2"/>
  <c r="D17" i="2"/>
  <c r="E17" i="2"/>
  <c r="F17" i="2"/>
  <c r="G17" i="2"/>
  <c r="H17" i="2"/>
  <c r="I17" i="2"/>
  <c r="J17" i="2"/>
  <c r="B17" i="2"/>
  <c r="AK52" i="1"/>
  <c r="AL52" i="1"/>
  <c r="AM52" i="1"/>
  <c r="AB52" i="1"/>
  <c r="AD52" i="1"/>
  <c r="AE52" i="1"/>
  <c r="AF52" i="1"/>
  <c r="AG52" i="1"/>
  <c r="AH52" i="1"/>
  <c r="AI52" i="1"/>
  <c r="AJ52" i="1"/>
  <c r="S52" i="1"/>
  <c r="U52" i="1"/>
  <c r="V52" i="1"/>
  <c r="W52" i="1"/>
  <c r="X52" i="1"/>
  <c r="Y52" i="1"/>
  <c r="Z52" i="1"/>
  <c r="AA52" i="1"/>
  <c r="I52" i="1"/>
  <c r="K52" i="1"/>
  <c r="L52" i="1"/>
  <c r="M52" i="1"/>
  <c r="N52" i="1"/>
  <c r="O52" i="1"/>
  <c r="P52" i="1"/>
  <c r="Q52" i="1"/>
  <c r="R52" i="1"/>
  <c r="C52" i="1"/>
  <c r="D52" i="1"/>
  <c r="E52" i="1"/>
  <c r="F52" i="1"/>
  <c r="G52" i="1"/>
  <c r="H52" i="1"/>
  <c r="B52" i="1"/>
  <c r="AD34" i="1"/>
  <c r="AE34" i="1"/>
  <c r="AF34" i="1"/>
  <c r="AG34" i="1"/>
  <c r="AH34" i="1"/>
  <c r="AI34" i="1"/>
  <c r="AJ34" i="1"/>
  <c r="AK34" i="1"/>
  <c r="AL34" i="1"/>
  <c r="Q34" i="1"/>
  <c r="R34" i="1"/>
  <c r="S34" i="1"/>
  <c r="U34" i="1"/>
  <c r="V34" i="1"/>
  <c r="W34" i="1"/>
  <c r="X34" i="1"/>
  <c r="Y34" i="1"/>
  <c r="Z34" i="1"/>
  <c r="AA34" i="1"/>
  <c r="AB34" i="1"/>
  <c r="F34" i="1"/>
  <c r="G34" i="1"/>
  <c r="H34" i="1"/>
  <c r="I34" i="1"/>
  <c r="K34" i="1"/>
  <c r="L34" i="1"/>
  <c r="M34" i="1"/>
  <c r="N34" i="1"/>
  <c r="O34" i="1"/>
  <c r="P34" i="1"/>
  <c r="C34" i="1"/>
  <c r="D34" i="1"/>
  <c r="E34" i="1"/>
  <c r="B34" i="1"/>
  <c r="B16" i="1"/>
  <c r="C16" i="1"/>
  <c r="D16" i="1"/>
  <c r="E16" i="1"/>
  <c r="F16" i="1"/>
  <c r="G16" i="1"/>
  <c r="H16" i="1"/>
  <c r="I16" i="1"/>
  <c r="J16" i="1"/>
  <c r="AO4" i="1" s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4" i="2" l="1"/>
  <c r="AO40" i="1"/>
  <c r="AO22" i="1"/>
</calcChain>
</file>

<file path=xl/sharedStrings.xml><?xml version="1.0" encoding="utf-8"?>
<sst xmlns="http://schemas.openxmlformats.org/spreadsheetml/2006/main" count="816" uniqueCount="90">
  <si>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</si>
  <si>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</si>
  <si>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</si>
  <si>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</si>
  <si>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</si>
  <si>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</si>
  <si>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</si>
  <si>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</si>
  <si>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</si>
  <si>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</si>
  <si>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</si>
  <si>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</si>
  <si>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</si>
  <si>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</si>
  <si>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</si>
  <si>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</si>
  <si>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</si>
  <si>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</si>
  <si>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</si>
  <si>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</si>
  <si>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</si>
  <si>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</si>
  <si>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</si>
  <si>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</si>
  <si>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</si>
  <si>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</si>
  <si>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</si>
  <si>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</si>
  <si>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</si>
  <si>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</si>
  <si>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</si>
  <si>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</si>
  <si>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</si>
  <si>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</si>
  <si>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</si>
  <si>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</si>
  <si>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</si>
  <si>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</si>
  <si>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16 deg Plate 1</t>
  </si>
  <si>
    <t>A10</t>
  </si>
  <si>
    <t>16 deg plate 2</t>
  </si>
  <si>
    <t>16 deg plate 3</t>
  </si>
  <si>
    <t>24C plate 1</t>
  </si>
  <si>
    <t>24C plate 2</t>
  </si>
  <si>
    <t>24C plate 3</t>
  </si>
  <si>
    <t>A</t>
  </si>
  <si>
    <t>B</t>
  </si>
  <si>
    <t>C</t>
  </si>
  <si>
    <t>D</t>
  </si>
  <si>
    <t>E</t>
  </si>
  <si>
    <t>F</t>
  </si>
  <si>
    <t>G</t>
  </si>
  <si>
    <t>H</t>
  </si>
  <si>
    <t>treatment</t>
  </si>
  <si>
    <t>genotype</t>
  </si>
  <si>
    <t>hsht</t>
  </si>
  <si>
    <t>slope</t>
  </si>
  <si>
    <t>blanks</t>
  </si>
  <si>
    <t>G1</t>
  </si>
  <si>
    <t>G2</t>
  </si>
  <si>
    <t>G3</t>
  </si>
  <si>
    <t>G4</t>
  </si>
  <si>
    <t>G5</t>
  </si>
  <si>
    <t>G6</t>
  </si>
  <si>
    <t>G7</t>
  </si>
  <si>
    <t>G8</t>
  </si>
  <si>
    <t>lsht</t>
  </si>
  <si>
    <t>hslt</t>
  </si>
  <si>
    <t>lslt</t>
  </si>
  <si>
    <t>blanks:</t>
  </si>
  <si>
    <t>conc</t>
  </si>
  <si>
    <t>abs</t>
  </si>
  <si>
    <t>[BSA]</t>
  </si>
  <si>
    <t>HSHT</t>
  </si>
  <si>
    <t>LSHT</t>
  </si>
  <si>
    <t>HSLT</t>
  </si>
  <si>
    <t>LSLT</t>
  </si>
  <si>
    <t>avg. absorbance</t>
  </si>
  <si>
    <t>dilution factor</t>
  </si>
  <si>
    <t>TT</t>
  </si>
  <si>
    <t>AS</t>
  </si>
  <si>
    <t>AT</t>
  </si>
  <si>
    <t>CS_activity</t>
  </si>
  <si>
    <t>[BSA final] (mg/mL)</t>
  </si>
  <si>
    <t>extinction coeff</t>
  </si>
  <si>
    <t>path length</t>
  </si>
  <si>
    <t>volume of assay soln</t>
  </si>
  <si>
    <t>volume of homogenate</t>
  </si>
  <si>
    <t>BSA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</si>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</sst>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27413E"/>
      <name val="Calibri"/>
      <family val="2"/>
    </font>
    <font>
      <sz val="10"/>
      <color rgb="FF000000"/>
      <name val="Calibri"/>
      <family val="2"/>
    </font>
    <font>
      <sz val="7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21" fontId="2" fillId="15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336922958159641E-2"/>
                  <c:y val="0.26975633454472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E"/>
                </a:p>
              </c:txPr>
            </c:trendlineLbl>
          </c:trendline>
          <c:xVal>
            <c:numRef>
              <c:f>BSA!$O$5:$O$9</c:f>
              <c:numCache>
                <c:formatCode>General</c:formatCode>
                <c:ptCount val="5"/>
                <c:pt idx="0">
                  <c:v>0.5</c:v>
                </c:pt>
                <c:pt idx="1">
                  <c:v>0.4</c:v>
                </c:pt>
                <c:pt idx="2">
                  <c:v>0.25</c:v>
                </c:pt>
                <c:pt idx="3">
                  <c:v>0.125</c:v>
                </c:pt>
                <c:pt idx="4">
                  <c:v>0.05</c:v>
                </c:pt>
              </c:numCache>
            </c:numRef>
          </c:xVal>
          <c:yVal>
            <c:numRef>
              <c:f>BSA!$P$5:$P$9</c:f>
              <c:numCache>
                <c:formatCode>General</c:formatCode>
                <c:ptCount val="5"/>
                <c:pt idx="0">
                  <c:v>0.75066666666666682</c:v>
                </c:pt>
                <c:pt idx="1">
                  <c:v>0.62133333333333329</c:v>
                </c:pt>
                <c:pt idx="2">
                  <c:v>0.40066666666666667</c:v>
                </c:pt>
                <c:pt idx="3">
                  <c:v>0.19833333333333342</c:v>
                </c:pt>
                <c:pt idx="4">
                  <c:v>5.6333333333333346E-2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8-5940-BB7D-699A3839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303472"/>
        <c:axId val="856308192"/>
      </c:scatterChart>
      <c:valAx>
        <c:axId val="85630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856308192"/>
        <c:crosses val="autoZero"/>
        <c:crossBetween val="midCat"/>
      </c:valAx>
      <c:valAx>
        <c:axId val="8563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85630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</xdr:colOff>
      <xdr:row>13</xdr:row>
      <xdr:rowOff>20320</xdr:rowOff>
    </xdr:from>
    <xdr:to>
      <xdr:col>11</xdr:col>
      <xdr:colOff>528320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1E06A-78D0-7F16-8879-E40B3CDE3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BEDC-00B9-6342-AFA2-18B33F54F50A}">
  <dimension ref="A1:M193"/>
  <sheetViews>
    <sheetView zoomScale="125" zoomScaleNormal="85" workbookViewId="0">
      <selection activeCell="L1" sqref="L1"/>
    </sheetView>
  </sheetViews>
  <sheetFormatPr baseColWidth="10" defaultRowHeight="15" x14ac:dyDescent="0.2"/>
  <cols>
    <col min="7" max="7" width="12.1640625" bestFit="1" customWidth="1"/>
    <col min="9" max="9" width="12.5" customWidth="1"/>
    <col min="13" max="13" width="14.33203125" bestFit="1" customWidth="1"/>
  </cols>
  <sheetData>
    <row r="1" spans="1:13" ht="46" customHeight="1" x14ac:dyDescent="0.2">
      <c r="A1" s="28" t="s">
        <v>80</v>
      </c>
      <c r="B1" s="28" t="s">
        <v>81</v>
      </c>
      <c r="C1" s="28" t="s">
        <v>79</v>
      </c>
      <c r="D1" s="28" t="s">
        <v>53</v>
      </c>
      <c r="E1" s="28" t="s">
        <v>54</v>
      </c>
      <c r="F1" s="28" t="s">
        <v>56</v>
      </c>
      <c r="G1" s="28" t="s">
        <v>84</v>
      </c>
      <c r="H1" s="28" t="s">
        <v>85</v>
      </c>
      <c r="I1" s="29" t="s">
        <v>86</v>
      </c>
      <c r="J1" s="29" t="s">
        <v>87</v>
      </c>
      <c r="K1" s="29" t="s">
        <v>88</v>
      </c>
      <c r="L1" s="29" t="s">
        <v>89</v>
      </c>
      <c r="M1" s="28" t="s">
        <v>82</v>
      </c>
    </row>
    <row r="2" spans="1:13" ht="16" x14ac:dyDescent="0.2">
      <c r="A2" s="28">
        <v>30</v>
      </c>
      <c r="B2" s="28">
        <v>24</v>
      </c>
      <c r="C2" s="28">
        <v>16</v>
      </c>
      <c r="D2" s="28" t="s">
        <v>55</v>
      </c>
      <c r="E2" s="28" t="s">
        <v>58</v>
      </c>
      <c r="F2" s="28">
        <v>3.1278916827852958</v>
      </c>
      <c r="G2" s="28">
        <v>13.6</v>
      </c>
      <c r="H2" s="28">
        <v>0.6</v>
      </c>
      <c r="I2" s="30">
        <v>1.9000000000000001E-4</v>
      </c>
      <c r="J2" s="30">
        <f t="shared" ref="J2:J33" si="0">0.000005</f>
        <v>5.0000000000000004E-6</v>
      </c>
      <c r="K2" s="27">
        <v>0.89439781378098782</v>
      </c>
      <c r="L2" s="30">
        <v>5.6349999999999998</v>
      </c>
      <c r="M2">
        <f>(F2/(G2*H2*K2))*(I2/J2)</f>
        <v>16.285999388446278</v>
      </c>
    </row>
    <row r="3" spans="1:13" ht="16" x14ac:dyDescent="0.2">
      <c r="A3" s="28">
        <v>30</v>
      </c>
      <c r="B3" s="28">
        <v>24</v>
      </c>
      <c r="C3" s="28">
        <v>16</v>
      </c>
      <c r="D3" s="28" t="s">
        <v>55</v>
      </c>
      <c r="E3" s="28" t="s">
        <v>59</v>
      </c>
      <c r="F3" s="28">
        <v>2.9719148936170163</v>
      </c>
      <c r="G3" s="28">
        <v>13.6</v>
      </c>
      <c r="H3" s="28">
        <v>0.6</v>
      </c>
      <c r="I3" s="30">
        <v>1.9000000000000001E-4</v>
      </c>
      <c r="J3" s="30">
        <f t="shared" si="0"/>
        <v>5.0000000000000004E-6</v>
      </c>
      <c r="K3" s="27">
        <v>1.0238792374259877</v>
      </c>
      <c r="L3" s="30">
        <v>6.2249999999999996</v>
      </c>
      <c r="M3">
        <f t="shared" ref="M3:M66" si="1">(F3/(G3*H3*K3))*(I3/J3)</f>
        <v>13.517023535392779</v>
      </c>
    </row>
    <row r="4" spans="1:13" ht="16" x14ac:dyDescent="0.2">
      <c r="A4" s="28">
        <v>30</v>
      </c>
      <c r="B4" s="28">
        <v>24</v>
      </c>
      <c r="C4" s="28">
        <v>16</v>
      </c>
      <c r="D4" s="28" t="s">
        <v>55</v>
      </c>
      <c r="E4" s="28" t="s">
        <v>60</v>
      </c>
      <c r="F4" s="28">
        <v>3.5735396518375206</v>
      </c>
      <c r="G4" s="28">
        <v>13.6</v>
      </c>
      <c r="H4" s="28">
        <v>0.6</v>
      </c>
      <c r="I4" s="30">
        <v>1.9000000000000001E-4</v>
      </c>
      <c r="J4" s="30">
        <f t="shared" si="0"/>
        <v>5.0000000000000004E-6</v>
      </c>
      <c r="K4" s="27">
        <v>0.74149261500422947</v>
      </c>
      <c r="L4" s="30">
        <v>3.9540000000000002</v>
      </c>
      <c r="M4">
        <f t="shared" si="1"/>
        <v>22.443222408463022</v>
      </c>
    </row>
    <row r="5" spans="1:13" ht="16" x14ac:dyDescent="0.2">
      <c r="A5" s="28">
        <v>30</v>
      </c>
      <c r="B5" s="28">
        <v>24</v>
      </c>
      <c r="C5" s="28">
        <v>16</v>
      </c>
      <c r="D5" s="28" t="s">
        <v>55</v>
      </c>
      <c r="E5" s="28" t="s">
        <v>61</v>
      </c>
      <c r="F5" s="28">
        <v>3.1947388781431321</v>
      </c>
      <c r="G5" s="28">
        <v>13.6</v>
      </c>
      <c r="H5" s="28">
        <v>0.6</v>
      </c>
      <c r="I5" s="30">
        <v>1.9000000000000001E-4</v>
      </c>
      <c r="J5" s="30">
        <f t="shared" si="0"/>
        <v>5.0000000000000004E-6</v>
      </c>
      <c r="K5" s="27">
        <v>1.0928492419806104</v>
      </c>
      <c r="L5" s="30">
        <v>5.2240000000000002</v>
      </c>
      <c r="M5">
        <f t="shared" si="1"/>
        <v>13.613460933530131</v>
      </c>
    </row>
    <row r="6" spans="1:13" ht="16" x14ac:dyDescent="0.2">
      <c r="A6" s="28">
        <v>30</v>
      </c>
      <c r="B6" s="28">
        <v>24</v>
      </c>
      <c r="C6" s="28">
        <v>16</v>
      </c>
      <c r="D6" s="28" t="s">
        <v>55</v>
      </c>
      <c r="E6" s="28" t="s">
        <v>62</v>
      </c>
      <c r="F6" s="28">
        <v>3.361856866537714</v>
      </c>
      <c r="G6" s="28">
        <v>13.6</v>
      </c>
      <c r="H6" s="28">
        <v>0.6</v>
      </c>
      <c r="I6" s="30">
        <v>1.9000000000000001E-4</v>
      </c>
      <c r="J6" s="30">
        <f t="shared" si="0"/>
        <v>5.0000000000000004E-6</v>
      </c>
      <c r="K6" s="27">
        <v>0.86902205738824934</v>
      </c>
      <c r="L6" s="30">
        <v>8.0299999999999994</v>
      </c>
      <c r="M6">
        <f t="shared" si="1"/>
        <v>18.015314873805412</v>
      </c>
    </row>
    <row r="7" spans="1:13" ht="16" x14ac:dyDescent="0.2">
      <c r="A7" s="28">
        <v>30</v>
      </c>
      <c r="B7" s="28">
        <v>24</v>
      </c>
      <c r="C7" s="28">
        <v>16</v>
      </c>
      <c r="D7" s="28" t="s">
        <v>55</v>
      </c>
      <c r="E7" s="28" t="s">
        <v>63</v>
      </c>
      <c r="F7" s="28">
        <v>3.8297872340425565</v>
      </c>
      <c r="G7" s="28">
        <v>13.6</v>
      </c>
      <c r="H7" s="28">
        <v>0.6</v>
      </c>
      <c r="I7" s="30">
        <v>1.9000000000000001E-4</v>
      </c>
      <c r="J7" s="30">
        <f t="shared" si="0"/>
        <v>5.0000000000000004E-6</v>
      </c>
      <c r="K7" s="27">
        <v>1.0134686707007612</v>
      </c>
      <c r="L7" s="30">
        <v>6.8780000000000001</v>
      </c>
      <c r="M7">
        <f t="shared" si="1"/>
        <v>17.59777485724646</v>
      </c>
    </row>
    <row r="8" spans="1:13" ht="16" x14ac:dyDescent="0.2">
      <c r="A8" s="28">
        <v>30</v>
      </c>
      <c r="B8" s="28">
        <v>24</v>
      </c>
      <c r="C8" s="28">
        <v>16</v>
      </c>
      <c r="D8" s="28" t="s">
        <v>55</v>
      </c>
      <c r="E8" s="28" t="s">
        <v>64</v>
      </c>
      <c r="F8" s="28">
        <v>3.6738104448742779</v>
      </c>
      <c r="G8" s="28">
        <v>13.6</v>
      </c>
      <c r="H8" s="28">
        <v>0.6</v>
      </c>
      <c r="I8" s="30">
        <v>1.9000000000000001E-4</v>
      </c>
      <c r="J8" s="30">
        <f t="shared" si="0"/>
        <v>5.0000000000000004E-6</v>
      </c>
      <c r="K8" s="27">
        <v>0.92237621185503305</v>
      </c>
      <c r="L8" s="30">
        <v>4.9630000000000001</v>
      </c>
      <c r="M8">
        <f t="shared" si="1"/>
        <v>18.548213595924736</v>
      </c>
    </row>
    <row r="9" spans="1:13" ht="16" x14ac:dyDescent="0.2">
      <c r="A9" s="28">
        <v>30</v>
      </c>
      <c r="B9" s="28">
        <v>24</v>
      </c>
      <c r="C9" s="28">
        <v>16</v>
      </c>
      <c r="D9" s="28" t="s">
        <v>55</v>
      </c>
      <c r="E9" s="28" t="s">
        <v>65</v>
      </c>
      <c r="F9" s="28">
        <v>3.0387620889748503</v>
      </c>
      <c r="G9" s="28">
        <v>13.6</v>
      </c>
      <c r="H9" s="28">
        <v>0.6</v>
      </c>
      <c r="I9" s="30">
        <v>1.9000000000000001E-4</v>
      </c>
      <c r="J9" s="30">
        <f t="shared" si="0"/>
        <v>5.0000000000000004E-6</v>
      </c>
      <c r="K9" s="27">
        <v>1.1449020756067412</v>
      </c>
      <c r="L9" s="30">
        <v>9.4390000000000001</v>
      </c>
      <c r="M9">
        <f t="shared" si="1"/>
        <v>12.360094600984887</v>
      </c>
    </row>
    <row r="10" spans="1:13" ht="16" x14ac:dyDescent="0.2">
      <c r="A10" s="28">
        <v>30</v>
      </c>
      <c r="B10" s="28">
        <v>24</v>
      </c>
      <c r="C10" s="28">
        <v>16</v>
      </c>
      <c r="D10" s="28" t="s">
        <v>55</v>
      </c>
      <c r="E10" s="28" t="s">
        <v>58</v>
      </c>
      <c r="F10" s="28">
        <v>3.2826747720364771</v>
      </c>
      <c r="G10" s="28">
        <v>13.6</v>
      </c>
      <c r="H10" s="28">
        <v>0.6</v>
      </c>
      <c r="I10" s="30">
        <v>1.9000000000000001E-4</v>
      </c>
      <c r="J10" s="30">
        <f t="shared" si="0"/>
        <v>5.0000000000000004E-6</v>
      </c>
      <c r="K10" s="27">
        <v>0.89439781378098782</v>
      </c>
      <c r="L10" s="30">
        <v>5.6349999999999998</v>
      </c>
      <c r="M10">
        <f t="shared" si="1"/>
        <v>17.09190878446535</v>
      </c>
    </row>
    <row r="11" spans="1:13" ht="16" x14ac:dyDescent="0.2">
      <c r="A11" s="28">
        <v>30</v>
      </c>
      <c r="B11" s="28">
        <v>24</v>
      </c>
      <c r="C11" s="28">
        <v>16</v>
      </c>
      <c r="D11" s="28" t="s">
        <v>55</v>
      </c>
      <c r="E11" s="28" t="s">
        <v>59</v>
      </c>
      <c r="F11" s="28">
        <v>3.8735562310030431</v>
      </c>
      <c r="G11" s="28">
        <v>13.6</v>
      </c>
      <c r="H11" s="28">
        <v>0.6</v>
      </c>
      <c r="I11" s="30">
        <v>1.9000000000000001E-4</v>
      </c>
      <c r="J11" s="30">
        <f t="shared" si="0"/>
        <v>5.0000000000000004E-6</v>
      </c>
      <c r="K11" s="27">
        <v>1.0238792374259877</v>
      </c>
      <c r="L11" s="30">
        <v>6.2249999999999996</v>
      </c>
      <c r="M11">
        <f t="shared" si="1"/>
        <v>17.617917273671047</v>
      </c>
    </row>
    <row r="12" spans="1:13" ht="16" x14ac:dyDescent="0.2">
      <c r="A12" s="28">
        <v>30</v>
      </c>
      <c r="B12" s="28">
        <v>24</v>
      </c>
      <c r="C12" s="28">
        <v>16</v>
      </c>
      <c r="D12" s="28" t="s">
        <v>55</v>
      </c>
      <c r="E12" s="28" t="s">
        <v>60</v>
      </c>
      <c r="F12" s="28">
        <v>3.6765957446808453</v>
      </c>
      <c r="G12" s="28">
        <v>13.6</v>
      </c>
      <c r="H12" s="28">
        <v>0.6</v>
      </c>
      <c r="I12" s="30">
        <v>1.9000000000000001E-4</v>
      </c>
      <c r="J12" s="30">
        <f t="shared" si="0"/>
        <v>5.0000000000000004E-6</v>
      </c>
      <c r="K12" s="27">
        <v>0.74149261500422947</v>
      </c>
      <c r="L12" s="30">
        <v>3.9540000000000002</v>
      </c>
      <c r="M12">
        <f t="shared" si="1"/>
        <v>23.090454855160694</v>
      </c>
    </row>
    <row r="13" spans="1:13" ht="16" x14ac:dyDescent="0.2">
      <c r="A13" s="28">
        <v>30</v>
      </c>
      <c r="B13" s="28">
        <v>24</v>
      </c>
      <c r="C13" s="28">
        <v>16</v>
      </c>
      <c r="D13" s="28" t="s">
        <v>55</v>
      </c>
      <c r="E13" s="28" t="s">
        <v>61</v>
      </c>
      <c r="F13" s="28">
        <v>3.7422492401215743</v>
      </c>
      <c r="G13" s="28">
        <v>13.6</v>
      </c>
      <c r="H13" s="28">
        <v>0.6</v>
      </c>
      <c r="I13" s="30">
        <v>1.9000000000000001E-4</v>
      </c>
      <c r="J13" s="30">
        <f t="shared" si="0"/>
        <v>5.0000000000000004E-6</v>
      </c>
      <c r="K13" s="27">
        <v>1.0928492419806104</v>
      </c>
      <c r="L13" s="30">
        <v>5.2240000000000002</v>
      </c>
      <c r="M13">
        <f t="shared" si="1"/>
        <v>15.946518879044802</v>
      </c>
    </row>
    <row r="14" spans="1:13" ht="16" x14ac:dyDescent="0.2">
      <c r="A14" s="28">
        <v>30</v>
      </c>
      <c r="B14" s="28">
        <v>24</v>
      </c>
      <c r="C14" s="28">
        <v>16</v>
      </c>
      <c r="D14" s="28" t="s">
        <v>55</v>
      </c>
      <c r="E14" s="28" t="s">
        <v>62</v>
      </c>
      <c r="F14" s="28">
        <v>2.7574468085106352</v>
      </c>
      <c r="G14" s="28">
        <v>13.6</v>
      </c>
      <c r="H14" s="28">
        <v>0.6</v>
      </c>
      <c r="I14" s="30">
        <v>1.9000000000000001E-4</v>
      </c>
      <c r="J14" s="30">
        <f t="shared" si="0"/>
        <v>5.0000000000000004E-6</v>
      </c>
      <c r="K14" s="27">
        <v>0.86902205738824934</v>
      </c>
      <c r="L14" s="30">
        <v>8.0299999999999994</v>
      </c>
      <c r="M14">
        <f t="shared" si="1"/>
        <v>14.776438877437744</v>
      </c>
    </row>
    <row r="15" spans="1:13" ht="16" x14ac:dyDescent="0.2">
      <c r="A15" s="28">
        <v>30</v>
      </c>
      <c r="B15" s="28">
        <v>24</v>
      </c>
      <c r="C15" s="28">
        <v>16</v>
      </c>
      <c r="D15" s="28" t="s">
        <v>55</v>
      </c>
      <c r="E15" s="28" t="s">
        <v>63</v>
      </c>
      <c r="F15" s="28">
        <v>2.560486322188452</v>
      </c>
      <c r="G15" s="28">
        <v>13.6</v>
      </c>
      <c r="H15" s="28">
        <v>0.6</v>
      </c>
      <c r="I15" s="30">
        <v>1.9000000000000001E-4</v>
      </c>
      <c r="J15" s="30">
        <f t="shared" si="0"/>
        <v>5.0000000000000004E-6</v>
      </c>
      <c r="K15" s="27">
        <v>1.0134686707007612</v>
      </c>
      <c r="L15" s="30">
        <v>6.8780000000000001</v>
      </c>
      <c r="M15">
        <f t="shared" si="1"/>
        <v>11.765369475987633</v>
      </c>
    </row>
    <row r="16" spans="1:13" ht="16" x14ac:dyDescent="0.2">
      <c r="A16" s="28">
        <v>30</v>
      </c>
      <c r="B16" s="28">
        <v>24</v>
      </c>
      <c r="C16" s="28">
        <v>16</v>
      </c>
      <c r="D16" s="28" t="s">
        <v>55</v>
      </c>
      <c r="E16" s="28" t="s">
        <v>64</v>
      </c>
      <c r="F16" s="28">
        <v>3.8735562310030374</v>
      </c>
      <c r="G16" s="28">
        <v>13.6</v>
      </c>
      <c r="H16" s="28">
        <v>0.6</v>
      </c>
      <c r="I16" s="30">
        <v>1.9000000000000001E-4</v>
      </c>
      <c r="J16" s="30">
        <f t="shared" si="0"/>
        <v>5.0000000000000004E-6</v>
      </c>
      <c r="K16" s="27">
        <v>0.92237621185503305</v>
      </c>
      <c r="L16" s="30">
        <v>4.9630000000000001</v>
      </c>
      <c r="M16">
        <f t="shared" si="1"/>
        <v>19.556683565073868</v>
      </c>
    </row>
    <row r="17" spans="1:13" ht="16" x14ac:dyDescent="0.2">
      <c r="A17" s="28">
        <v>30</v>
      </c>
      <c r="B17" s="28">
        <v>24</v>
      </c>
      <c r="C17" s="28">
        <v>16</v>
      </c>
      <c r="D17" s="28" t="s">
        <v>55</v>
      </c>
      <c r="E17" s="28" t="s">
        <v>65</v>
      </c>
      <c r="F17" s="28">
        <v>3.0200607902735537</v>
      </c>
      <c r="G17" s="28">
        <v>13.6</v>
      </c>
      <c r="H17" s="28">
        <v>0.6</v>
      </c>
      <c r="I17" s="30">
        <v>1.9000000000000001E-4</v>
      </c>
      <c r="J17" s="30">
        <f t="shared" si="0"/>
        <v>5.0000000000000004E-6</v>
      </c>
      <c r="K17" s="27">
        <v>1.1449020756067412</v>
      </c>
      <c r="L17" s="30">
        <v>9.4390000000000001</v>
      </c>
      <c r="M17">
        <f t="shared" si="1"/>
        <v>12.284027500520539</v>
      </c>
    </row>
    <row r="18" spans="1:13" ht="16" x14ac:dyDescent="0.2">
      <c r="A18" s="28">
        <v>30</v>
      </c>
      <c r="B18" s="28">
        <v>24</v>
      </c>
      <c r="C18" s="28">
        <v>16</v>
      </c>
      <c r="D18" s="28" t="s">
        <v>55</v>
      </c>
      <c r="E18" s="28" t="s">
        <v>58</v>
      </c>
      <c r="F18" s="28">
        <v>2.9412765957446769</v>
      </c>
      <c r="G18" s="28">
        <v>13.6</v>
      </c>
      <c r="H18" s="28">
        <v>0.6</v>
      </c>
      <c r="I18" s="30">
        <v>1.9000000000000001E-4</v>
      </c>
      <c r="J18" s="30">
        <f t="shared" si="0"/>
        <v>5.0000000000000004E-6</v>
      </c>
      <c r="K18" s="27">
        <v>0.89439781378098782</v>
      </c>
      <c r="L18" s="30">
        <v>5.6349999999999998</v>
      </c>
      <c r="M18">
        <f t="shared" si="1"/>
        <v>15.314350270880919</v>
      </c>
    </row>
    <row r="19" spans="1:13" ht="16" x14ac:dyDescent="0.2">
      <c r="A19" s="28">
        <v>30</v>
      </c>
      <c r="B19" s="28">
        <v>24</v>
      </c>
      <c r="C19" s="28">
        <v>16</v>
      </c>
      <c r="D19" s="28" t="s">
        <v>55</v>
      </c>
      <c r="E19" s="28" t="s">
        <v>59</v>
      </c>
      <c r="F19" s="28">
        <v>3.0081237911025105</v>
      </c>
      <c r="G19" s="28">
        <v>13.6</v>
      </c>
      <c r="H19" s="28">
        <v>0.6</v>
      </c>
      <c r="I19" s="30">
        <v>1.9000000000000001E-4</v>
      </c>
      <c r="J19" s="30">
        <f t="shared" si="0"/>
        <v>5.0000000000000004E-6</v>
      </c>
      <c r="K19" s="27">
        <v>1.0238792374259877</v>
      </c>
      <c r="L19" s="30">
        <v>6.2249999999999996</v>
      </c>
      <c r="M19">
        <f t="shared" si="1"/>
        <v>13.681710794961766</v>
      </c>
    </row>
    <row r="20" spans="1:13" ht="16" x14ac:dyDescent="0.2">
      <c r="A20" s="28">
        <v>30</v>
      </c>
      <c r="B20" s="28">
        <v>24</v>
      </c>
      <c r="C20" s="28">
        <v>16</v>
      </c>
      <c r="D20" s="28" t="s">
        <v>55</v>
      </c>
      <c r="E20" s="28" t="s">
        <v>60</v>
      </c>
      <c r="F20" s="28">
        <v>3.4760541586073472</v>
      </c>
      <c r="G20" s="28">
        <v>13.6</v>
      </c>
      <c r="H20" s="28">
        <v>0.6</v>
      </c>
      <c r="I20" s="30">
        <v>1.9000000000000001E-4</v>
      </c>
      <c r="J20" s="30">
        <f t="shared" si="0"/>
        <v>5.0000000000000004E-6</v>
      </c>
      <c r="K20" s="27">
        <v>0.74149261500422947</v>
      </c>
      <c r="L20" s="30">
        <v>3.9540000000000002</v>
      </c>
      <c r="M20">
        <f t="shared" si="1"/>
        <v>21.830975499424675</v>
      </c>
    </row>
    <row r="21" spans="1:13" ht="16" x14ac:dyDescent="0.2">
      <c r="A21" s="28">
        <v>30</v>
      </c>
      <c r="B21" s="28">
        <v>24</v>
      </c>
      <c r="C21" s="28">
        <v>16</v>
      </c>
      <c r="D21" s="28" t="s">
        <v>55</v>
      </c>
      <c r="E21" s="28" t="s">
        <v>61</v>
      </c>
      <c r="F21" s="28">
        <v>2.9914119922630542</v>
      </c>
      <c r="G21" s="28">
        <v>13.6</v>
      </c>
      <c r="H21" s="28">
        <v>0.6</v>
      </c>
      <c r="I21" s="30">
        <v>1.9000000000000001E-4</v>
      </c>
      <c r="J21" s="30">
        <f t="shared" si="0"/>
        <v>5.0000000000000004E-6</v>
      </c>
      <c r="K21" s="27">
        <v>1.0928492419806104</v>
      </c>
      <c r="L21" s="30">
        <v>5.2240000000000002</v>
      </c>
      <c r="M21">
        <f t="shared" si="1"/>
        <v>12.74704188545018</v>
      </c>
    </row>
    <row r="22" spans="1:13" ht="16" x14ac:dyDescent="0.2">
      <c r="A22" s="28">
        <v>30</v>
      </c>
      <c r="B22" s="28">
        <v>24</v>
      </c>
      <c r="C22" s="28">
        <v>16</v>
      </c>
      <c r="D22" s="28" t="s">
        <v>55</v>
      </c>
      <c r="E22" s="28" t="s">
        <v>62</v>
      </c>
      <c r="F22" s="28">
        <v>2.5401934235976813</v>
      </c>
      <c r="G22" s="28">
        <v>13.6</v>
      </c>
      <c r="H22" s="28">
        <v>0.6</v>
      </c>
      <c r="I22" s="30">
        <v>1.9000000000000001E-4</v>
      </c>
      <c r="J22" s="30">
        <f t="shared" si="0"/>
        <v>5.0000000000000004E-6</v>
      </c>
      <c r="K22" s="27">
        <v>0.86902205738824934</v>
      </c>
      <c r="L22" s="30">
        <v>8.0299999999999994</v>
      </c>
      <c r="M22">
        <f t="shared" si="1"/>
        <v>13.61223460224571</v>
      </c>
    </row>
    <row r="23" spans="1:13" ht="16" x14ac:dyDescent="0.2">
      <c r="A23" s="28">
        <v>30</v>
      </c>
      <c r="B23" s="28">
        <v>24</v>
      </c>
      <c r="C23" s="28">
        <v>16</v>
      </c>
      <c r="D23" s="28" t="s">
        <v>55</v>
      </c>
      <c r="E23" s="28" t="s">
        <v>63</v>
      </c>
      <c r="F23" s="28">
        <v>3.058259187620886</v>
      </c>
      <c r="G23" s="28">
        <v>13.6</v>
      </c>
      <c r="H23" s="28">
        <v>0.6</v>
      </c>
      <c r="I23" s="30">
        <v>1.9000000000000001E-4</v>
      </c>
      <c r="J23" s="30">
        <f t="shared" si="0"/>
        <v>5.0000000000000004E-6</v>
      </c>
      <c r="K23" s="27">
        <v>1.0134686707007612</v>
      </c>
      <c r="L23" s="30">
        <v>6.8780000000000001</v>
      </c>
      <c r="M23">
        <f t="shared" si="1"/>
        <v>14.052623122368418</v>
      </c>
    </row>
    <row r="24" spans="1:13" ht="16" x14ac:dyDescent="0.2">
      <c r="A24" s="28">
        <v>30</v>
      </c>
      <c r="B24" s="28">
        <v>24</v>
      </c>
      <c r="C24" s="28">
        <v>16</v>
      </c>
      <c r="D24" s="28" t="s">
        <v>55</v>
      </c>
      <c r="E24" s="28" t="s">
        <v>64</v>
      </c>
      <c r="F24" s="28">
        <v>3.593036750483555</v>
      </c>
      <c r="G24" s="28">
        <v>13.6</v>
      </c>
      <c r="H24" s="28">
        <v>0.6</v>
      </c>
      <c r="I24" s="30">
        <v>1.9000000000000001E-4</v>
      </c>
      <c r="J24" s="30">
        <f t="shared" si="0"/>
        <v>5.0000000000000004E-6</v>
      </c>
      <c r="K24" s="27">
        <v>0.92237621185503305</v>
      </c>
      <c r="L24" s="30">
        <v>4.9630000000000001</v>
      </c>
      <c r="M24">
        <f t="shared" si="1"/>
        <v>18.140406018758803</v>
      </c>
    </row>
    <row r="25" spans="1:13" ht="16" x14ac:dyDescent="0.2">
      <c r="A25" s="28">
        <v>30</v>
      </c>
      <c r="B25" s="28">
        <v>24</v>
      </c>
      <c r="C25" s="28">
        <v>16</v>
      </c>
      <c r="D25" s="28" t="s">
        <v>55</v>
      </c>
      <c r="E25" s="28" t="s">
        <v>65</v>
      </c>
      <c r="F25" s="28">
        <v>2.3730754352030972</v>
      </c>
      <c r="G25" s="28">
        <v>13.6</v>
      </c>
      <c r="H25" s="28">
        <v>0.6</v>
      </c>
      <c r="I25" s="30">
        <v>1.9000000000000001E-4</v>
      </c>
      <c r="J25" s="30">
        <f t="shared" si="0"/>
        <v>5.0000000000000004E-6</v>
      </c>
      <c r="K25" s="27">
        <v>1.1449020756067412</v>
      </c>
      <c r="L25" s="30">
        <v>9.4390000000000001</v>
      </c>
      <c r="M25">
        <f t="shared" si="1"/>
        <v>9.6524295142430336</v>
      </c>
    </row>
    <row r="26" spans="1:13" ht="16" x14ac:dyDescent="0.2">
      <c r="A26" s="28">
        <v>15</v>
      </c>
      <c r="B26" s="28">
        <v>24</v>
      </c>
      <c r="C26" s="28">
        <v>16</v>
      </c>
      <c r="D26" s="28" t="s">
        <v>66</v>
      </c>
      <c r="E26" s="28" t="s">
        <v>58</v>
      </c>
      <c r="F26" s="28">
        <v>3.3952804642166305</v>
      </c>
      <c r="G26" s="28">
        <v>13.6</v>
      </c>
      <c r="H26" s="28">
        <v>0.6</v>
      </c>
      <c r="I26" s="30">
        <v>1.9000000000000001E-4</v>
      </c>
      <c r="J26" s="30">
        <f t="shared" si="0"/>
        <v>5.0000000000000004E-6</v>
      </c>
      <c r="K26" s="27">
        <v>1.222981326045937</v>
      </c>
      <c r="L26" s="30">
        <v>5.3150000000000004</v>
      </c>
      <c r="M26">
        <f t="shared" si="1"/>
        <v>12.928533548496475</v>
      </c>
    </row>
    <row r="27" spans="1:13" ht="16" x14ac:dyDescent="0.2">
      <c r="A27" s="28">
        <v>15</v>
      </c>
      <c r="B27" s="28">
        <v>24</v>
      </c>
      <c r="C27" s="28">
        <v>16</v>
      </c>
      <c r="D27" s="28" t="s">
        <v>66</v>
      </c>
      <c r="E27" s="28" t="s">
        <v>59</v>
      </c>
      <c r="F27" s="28">
        <v>3.9523404255319181</v>
      </c>
      <c r="G27" s="28">
        <v>13.6</v>
      </c>
      <c r="H27" s="28">
        <v>0.6</v>
      </c>
      <c r="I27" s="30">
        <v>1.9000000000000001E-4</v>
      </c>
      <c r="J27" s="30">
        <f t="shared" si="0"/>
        <v>5.0000000000000004E-6</v>
      </c>
      <c r="K27" s="27">
        <v>1.2021601925954843</v>
      </c>
      <c r="L27" s="30">
        <v>6.69</v>
      </c>
      <c r="M27">
        <f t="shared" si="1"/>
        <v>15.310361295416644</v>
      </c>
    </row>
    <row r="28" spans="1:13" ht="16" x14ac:dyDescent="0.2">
      <c r="A28" s="28">
        <v>15</v>
      </c>
      <c r="B28" s="28">
        <v>24</v>
      </c>
      <c r="C28" s="28">
        <v>16</v>
      </c>
      <c r="D28" s="28" t="s">
        <v>66</v>
      </c>
      <c r="E28" s="28" t="s">
        <v>60</v>
      </c>
      <c r="F28" s="28">
        <v>2.414854932301743</v>
      </c>
      <c r="G28" s="28">
        <v>13.6</v>
      </c>
      <c r="H28" s="28">
        <v>0.6</v>
      </c>
      <c r="I28" s="30">
        <v>1.9000000000000001E-4</v>
      </c>
      <c r="J28" s="30">
        <f t="shared" si="0"/>
        <v>5.0000000000000004E-6</v>
      </c>
      <c r="K28" s="27">
        <v>0.88854186999804818</v>
      </c>
      <c r="L28" s="30">
        <v>11.787000000000001</v>
      </c>
      <c r="M28">
        <f t="shared" si="1"/>
        <v>12.656294935293186</v>
      </c>
    </row>
    <row r="29" spans="1:13" ht="16" x14ac:dyDescent="0.2">
      <c r="A29" s="28">
        <v>15</v>
      </c>
      <c r="B29" s="28">
        <v>24</v>
      </c>
      <c r="C29" s="28">
        <v>16</v>
      </c>
      <c r="D29" s="28" t="s">
        <v>66</v>
      </c>
      <c r="E29" s="28" t="s">
        <v>61</v>
      </c>
      <c r="F29" s="28">
        <v>3.97462282398453</v>
      </c>
      <c r="G29" s="28">
        <v>13.6</v>
      </c>
      <c r="H29" s="28">
        <v>0.6</v>
      </c>
      <c r="I29" s="30">
        <v>1.9000000000000001E-4</v>
      </c>
      <c r="J29" s="30">
        <f t="shared" si="0"/>
        <v>5.0000000000000004E-6</v>
      </c>
      <c r="K29" s="27">
        <v>1.165723209057193</v>
      </c>
      <c r="L29" s="30">
        <v>8.3689999999999998</v>
      </c>
      <c r="M29">
        <f t="shared" si="1"/>
        <v>15.877931237038462</v>
      </c>
    </row>
    <row r="30" spans="1:13" ht="16" x14ac:dyDescent="0.2">
      <c r="A30" s="28">
        <v>15</v>
      </c>
      <c r="B30" s="28">
        <v>24</v>
      </c>
      <c r="C30" s="28">
        <v>16</v>
      </c>
      <c r="D30" s="28" t="s">
        <v>66</v>
      </c>
      <c r="E30" s="28" t="s">
        <v>62</v>
      </c>
      <c r="F30" s="28">
        <v>3.1947388781431281</v>
      </c>
      <c r="G30" s="28">
        <v>13.6</v>
      </c>
      <c r="H30" s="28">
        <v>0.6</v>
      </c>
      <c r="I30" s="30">
        <v>1.9000000000000001E-4</v>
      </c>
      <c r="J30" s="30">
        <f t="shared" si="0"/>
        <v>5.0000000000000004E-6</v>
      </c>
      <c r="K30" s="27">
        <v>1.2112694384800573</v>
      </c>
      <c r="L30" s="30">
        <v>6.274</v>
      </c>
      <c r="M30">
        <f t="shared" si="1"/>
        <v>12.282535981928008</v>
      </c>
    </row>
    <row r="31" spans="1:13" ht="16" x14ac:dyDescent="0.2">
      <c r="A31" s="28">
        <v>15</v>
      </c>
      <c r="B31" s="28">
        <v>24</v>
      </c>
      <c r="C31" s="28">
        <v>16</v>
      </c>
      <c r="D31" s="28" t="s">
        <v>66</v>
      </c>
      <c r="E31" s="28" t="s">
        <v>63</v>
      </c>
      <c r="F31" s="28">
        <v>3.306150870406193</v>
      </c>
      <c r="G31" s="28">
        <v>13.6</v>
      </c>
      <c r="H31" s="28">
        <v>0.6</v>
      </c>
      <c r="I31" s="30">
        <v>1.9000000000000001E-4</v>
      </c>
      <c r="J31" s="30">
        <f t="shared" si="0"/>
        <v>5.0000000000000004E-6</v>
      </c>
      <c r="K31" s="27">
        <v>1.2997592556444795</v>
      </c>
      <c r="L31" s="30">
        <v>4.4470000000000001</v>
      </c>
      <c r="M31">
        <f t="shared" si="1"/>
        <v>11.84549427227112</v>
      </c>
    </row>
    <row r="32" spans="1:13" ht="16" x14ac:dyDescent="0.2">
      <c r="A32" s="28">
        <v>15</v>
      </c>
      <c r="B32" s="28">
        <v>24</v>
      </c>
      <c r="C32" s="28">
        <v>16</v>
      </c>
      <c r="D32" s="28" t="s">
        <v>66</v>
      </c>
      <c r="E32" s="28" t="s">
        <v>64</v>
      </c>
      <c r="F32" s="28">
        <v>3.7963636363636399</v>
      </c>
      <c r="G32" s="28">
        <v>13.6</v>
      </c>
      <c r="H32" s="28">
        <v>0.6</v>
      </c>
      <c r="I32" s="30">
        <v>1.9000000000000001E-4</v>
      </c>
      <c r="J32" s="30">
        <f t="shared" si="0"/>
        <v>5.0000000000000004E-6</v>
      </c>
      <c r="K32" s="27">
        <v>1.1429500943457611</v>
      </c>
      <c r="L32" s="30">
        <v>7.5670000000000002</v>
      </c>
      <c r="M32">
        <f t="shared" si="1"/>
        <v>15.467993285521811</v>
      </c>
    </row>
    <row r="33" spans="1:13" ht="16" x14ac:dyDescent="0.2">
      <c r="A33" s="28">
        <v>15</v>
      </c>
      <c r="B33" s="28">
        <v>24</v>
      </c>
      <c r="C33" s="28">
        <v>16</v>
      </c>
      <c r="D33" s="28" t="s">
        <v>66</v>
      </c>
      <c r="E33" s="28" t="s">
        <v>65</v>
      </c>
      <c r="F33" s="28">
        <v>2.5151257253384935</v>
      </c>
      <c r="G33" s="28">
        <v>13.6</v>
      </c>
      <c r="H33" s="28">
        <v>0.6</v>
      </c>
      <c r="I33" s="30">
        <v>1.9000000000000001E-4</v>
      </c>
      <c r="J33" s="30">
        <f t="shared" si="0"/>
        <v>5.0000000000000004E-6</v>
      </c>
      <c r="K33" s="27">
        <v>1.0225779165853341</v>
      </c>
      <c r="L33" s="30">
        <v>13.462</v>
      </c>
      <c r="M33">
        <f t="shared" si="1"/>
        <v>11.453988101638314</v>
      </c>
    </row>
    <row r="34" spans="1:13" ht="16" x14ac:dyDescent="0.2">
      <c r="A34" s="28">
        <v>15</v>
      </c>
      <c r="B34" s="28">
        <v>24</v>
      </c>
      <c r="C34" s="28">
        <v>16</v>
      </c>
      <c r="D34" s="28" t="s">
        <v>66</v>
      </c>
      <c r="E34" s="28" t="s">
        <v>58</v>
      </c>
      <c r="F34" s="28">
        <v>3.6765957446808453</v>
      </c>
      <c r="G34" s="28">
        <v>13.6</v>
      </c>
      <c r="H34" s="28">
        <v>0.6</v>
      </c>
      <c r="I34" s="30">
        <v>1.9000000000000001E-4</v>
      </c>
      <c r="J34" s="30">
        <f t="shared" ref="J34:J65" si="2">0.000005</f>
        <v>5.0000000000000004E-6</v>
      </c>
      <c r="K34" s="27">
        <v>1.222981326045937</v>
      </c>
      <c r="L34" s="30">
        <v>5.3150000000000004</v>
      </c>
      <c r="M34">
        <f t="shared" si="1"/>
        <v>13.999724597223413</v>
      </c>
    </row>
    <row r="35" spans="1:13" ht="16" x14ac:dyDescent="0.2">
      <c r="A35" s="28">
        <v>15</v>
      </c>
      <c r="B35" s="28">
        <v>24</v>
      </c>
      <c r="C35" s="28">
        <v>16</v>
      </c>
      <c r="D35" s="28" t="s">
        <v>66</v>
      </c>
      <c r="E35" s="28" t="s">
        <v>59</v>
      </c>
      <c r="F35" s="28">
        <v>3.7422492401215743</v>
      </c>
      <c r="G35" s="28">
        <v>13.6</v>
      </c>
      <c r="H35" s="28">
        <v>0.6</v>
      </c>
      <c r="I35" s="30">
        <v>1.9000000000000001E-4</v>
      </c>
      <c r="J35" s="30">
        <f t="shared" si="2"/>
        <v>5.0000000000000004E-6</v>
      </c>
      <c r="K35" s="27">
        <v>1.2021601925954843</v>
      </c>
      <c r="L35" s="30">
        <v>6.69</v>
      </c>
      <c r="M35">
        <f t="shared" si="1"/>
        <v>14.496521492337981</v>
      </c>
    </row>
    <row r="36" spans="1:13" ht="16" x14ac:dyDescent="0.2">
      <c r="A36" s="28">
        <v>15</v>
      </c>
      <c r="B36" s="28">
        <v>24</v>
      </c>
      <c r="C36" s="28">
        <v>16</v>
      </c>
      <c r="D36" s="28" t="s">
        <v>66</v>
      </c>
      <c r="E36" s="28" t="s">
        <v>60</v>
      </c>
      <c r="F36" s="28">
        <v>2.1665653495440744</v>
      </c>
      <c r="G36" s="28">
        <v>13.6</v>
      </c>
      <c r="H36" s="28">
        <v>0.6</v>
      </c>
      <c r="I36" s="30">
        <v>1.9000000000000001E-4</v>
      </c>
      <c r="J36" s="30">
        <f t="shared" si="2"/>
        <v>5.0000000000000004E-6</v>
      </c>
      <c r="K36" s="27">
        <v>0.88854186999804818</v>
      </c>
      <c r="L36" s="30">
        <v>11.787000000000001</v>
      </c>
      <c r="M36">
        <f t="shared" si="1"/>
        <v>11.355005095183948</v>
      </c>
    </row>
    <row r="37" spans="1:13" ht="16" x14ac:dyDescent="0.2">
      <c r="A37" s="28">
        <v>15</v>
      </c>
      <c r="B37" s="28">
        <v>24</v>
      </c>
      <c r="C37" s="28">
        <v>16</v>
      </c>
      <c r="D37" s="28" t="s">
        <v>66</v>
      </c>
      <c r="E37" s="28" t="s">
        <v>61</v>
      </c>
      <c r="F37" s="28">
        <v>3.8079027355623127</v>
      </c>
      <c r="G37" s="28">
        <v>13.6</v>
      </c>
      <c r="H37" s="28">
        <v>0.6</v>
      </c>
      <c r="I37" s="30">
        <v>1.9000000000000001E-4</v>
      </c>
      <c r="J37" s="30">
        <f t="shared" si="2"/>
        <v>5.0000000000000004E-6</v>
      </c>
      <c r="K37" s="27">
        <v>1.165723209057193</v>
      </c>
      <c r="L37" s="30">
        <v>8.3689999999999998</v>
      </c>
      <c r="M37">
        <f t="shared" si="1"/>
        <v>15.211913298474123</v>
      </c>
    </row>
    <row r="38" spans="1:13" ht="16" x14ac:dyDescent="0.2">
      <c r="A38" s="28">
        <v>15</v>
      </c>
      <c r="B38" s="28">
        <v>24</v>
      </c>
      <c r="C38" s="28">
        <v>16</v>
      </c>
      <c r="D38" s="28" t="s">
        <v>66</v>
      </c>
      <c r="E38" s="28" t="s">
        <v>62</v>
      </c>
      <c r="F38" s="28">
        <v>3.1513677811550065</v>
      </c>
      <c r="G38" s="28">
        <v>13.6</v>
      </c>
      <c r="H38" s="28">
        <v>0.6</v>
      </c>
      <c r="I38" s="30">
        <v>1.9000000000000001E-4</v>
      </c>
      <c r="J38" s="30">
        <f t="shared" si="2"/>
        <v>5.0000000000000004E-6</v>
      </c>
      <c r="K38" s="27">
        <v>1.2112694384800573</v>
      </c>
      <c r="L38" s="30">
        <v>6.274</v>
      </c>
      <c r="M38">
        <f t="shared" si="1"/>
        <v>12.115790880168106</v>
      </c>
    </row>
    <row r="39" spans="1:13" ht="16" x14ac:dyDescent="0.2">
      <c r="A39" s="28">
        <v>15</v>
      </c>
      <c r="B39" s="28">
        <v>24</v>
      </c>
      <c r="C39" s="28">
        <v>16</v>
      </c>
      <c r="D39" s="28" t="s">
        <v>66</v>
      </c>
      <c r="E39" s="28" t="s">
        <v>63</v>
      </c>
      <c r="F39" s="28">
        <v>3.4139817629179361</v>
      </c>
      <c r="G39" s="28">
        <v>13.6</v>
      </c>
      <c r="H39" s="28">
        <v>0.6</v>
      </c>
      <c r="I39" s="30">
        <v>1.9000000000000001E-4</v>
      </c>
      <c r="J39" s="30">
        <f t="shared" si="2"/>
        <v>5.0000000000000004E-6</v>
      </c>
      <c r="K39" s="27">
        <v>1.2997592556444795</v>
      </c>
      <c r="L39" s="30">
        <v>4.4470000000000001</v>
      </c>
      <c r="M39">
        <f t="shared" si="1"/>
        <v>12.231837869308723</v>
      </c>
    </row>
    <row r="40" spans="1:13" ht="16" x14ac:dyDescent="0.2">
      <c r="A40" s="28">
        <v>15</v>
      </c>
      <c r="B40" s="28">
        <v>24</v>
      </c>
      <c r="C40" s="28">
        <v>16</v>
      </c>
      <c r="D40" s="28" t="s">
        <v>66</v>
      </c>
      <c r="E40" s="28" t="s">
        <v>64</v>
      </c>
      <c r="F40" s="28">
        <v>3.0857142857142787</v>
      </c>
      <c r="G40" s="28">
        <v>13.6</v>
      </c>
      <c r="H40" s="28">
        <v>0.6</v>
      </c>
      <c r="I40" s="30">
        <v>1.9000000000000001E-4</v>
      </c>
      <c r="J40" s="30">
        <f t="shared" si="2"/>
        <v>5.0000000000000004E-6</v>
      </c>
      <c r="K40" s="27">
        <v>1.1429500943457611</v>
      </c>
      <c r="L40" s="30">
        <v>7.5670000000000002</v>
      </c>
      <c r="M40">
        <f t="shared" si="1"/>
        <v>12.572506857690101</v>
      </c>
    </row>
    <row r="41" spans="1:13" ht="16" x14ac:dyDescent="0.2">
      <c r="A41" s="28">
        <v>15</v>
      </c>
      <c r="B41" s="28">
        <v>24</v>
      </c>
      <c r="C41" s="28">
        <v>16</v>
      </c>
      <c r="D41" s="28" t="s">
        <v>66</v>
      </c>
      <c r="E41" s="28" t="s">
        <v>65</v>
      </c>
      <c r="F41" s="28">
        <v>2.9544072948328237</v>
      </c>
      <c r="G41" s="28">
        <v>13.6</v>
      </c>
      <c r="H41" s="28">
        <v>0.6</v>
      </c>
      <c r="I41" s="30">
        <v>1.9000000000000001E-4</v>
      </c>
      <c r="J41" s="30">
        <f t="shared" si="2"/>
        <v>5.0000000000000004E-6</v>
      </c>
      <c r="K41" s="27">
        <v>1.0225779165853341</v>
      </c>
      <c r="L41" s="30">
        <v>13.462</v>
      </c>
      <c r="M41">
        <f t="shared" si="1"/>
        <v>13.454494803775402</v>
      </c>
    </row>
    <row r="42" spans="1:13" ht="16" x14ac:dyDescent="0.2">
      <c r="A42" s="28">
        <v>15</v>
      </c>
      <c r="B42" s="28">
        <v>24</v>
      </c>
      <c r="C42" s="28">
        <v>16</v>
      </c>
      <c r="D42" s="28" t="s">
        <v>66</v>
      </c>
      <c r="E42" s="28" t="s">
        <v>58</v>
      </c>
      <c r="F42" s="28">
        <v>3.2086653771760116</v>
      </c>
      <c r="G42" s="28">
        <v>13.6</v>
      </c>
      <c r="H42" s="28">
        <v>0.6</v>
      </c>
      <c r="I42" s="30">
        <v>1.9000000000000001E-4</v>
      </c>
      <c r="J42" s="30">
        <f t="shared" si="2"/>
        <v>5.0000000000000004E-6</v>
      </c>
      <c r="K42" s="27">
        <v>1.222981326045937</v>
      </c>
      <c r="L42" s="30">
        <v>5.3150000000000004</v>
      </c>
      <c r="M42">
        <f t="shared" si="1"/>
        <v>12.21794146666771</v>
      </c>
    </row>
    <row r="43" spans="1:13" ht="16" x14ac:dyDescent="0.2">
      <c r="A43" s="28">
        <v>15</v>
      </c>
      <c r="B43" s="28">
        <v>24</v>
      </c>
      <c r="C43" s="28">
        <v>16</v>
      </c>
      <c r="D43" s="28" t="s">
        <v>66</v>
      </c>
      <c r="E43" s="28" t="s">
        <v>59</v>
      </c>
      <c r="F43" s="28">
        <v>3.1083945841392611</v>
      </c>
      <c r="G43" s="28">
        <v>13.6</v>
      </c>
      <c r="H43" s="28">
        <v>0.6</v>
      </c>
      <c r="I43" s="30">
        <v>1.9000000000000001E-4</v>
      </c>
      <c r="J43" s="30">
        <f t="shared" si="2"/>
        <v>5.0000000000000004E-6</v>
      </c>
      <c r="K43" s="27">
        <v>1.2021601925954843</v>
      </c>
      <c r="L43" s="30">
        <v>6.69</v>
      </c>
      <c r="M43">
        <f t="shared" si="1"/>
        <v>12.041129813731457</v>
      </c>
    </row>
    <row r="44" spans="1:13" ht="16" x14ac:dyDescent="0.2">
      <c r="A44" s="28">
        <v>15</v>
      </c>
      <c r="B44" s="28">
        <v>24</v>
      </c>
      <c r="C44" s="28">
        <v>16</v>
      </c>
      <c r="D44" s="28" t="s">
        <v>66</v>
      </c>
      <c r="E44" s="28" t="s">
        <v>60</v>
      </c>
      <c r="F44" s="28">
        <v>2.1391102514506795</v>
      </c>
      <c r="G44" s="28">
        <v>13.6</v>
      </c>
      <c r="H44" s="28">
        <v>0.6</v>
      </c>
      <c r="I44" s="30">
        <v>1.9000000000000001E-4</v>
      </c>
      <c r="J44" s="30">
        <f t="shared" si="2"/>
        <v>5.0000000000000004E-6</v>
      </c>
      <c r="K44" s="27">
        <v>0.88854186999804818</v>
      </c>
      <c r="L44" s="30">
        <v>11.787000000000001</v>
      </c>
      <c r="M44">
        <f t="shared" si="1"/>
        <v>11.211112468633415</v>
      </c>
    </row>
    <row r="45" spans="1:13" ht="16" x14ac:dyDescent="0.2">
      <c r="A45" s="28">
        <v>15</v>
      </c>
      <c r="B45" s="28">
        <v>24</v>
      </c>
      <c r="C45" s="28">
        <v>16</v>
      </c>
      <c r="D45" s="28" t="s">
        <v>66</v>
      </c>
      <c r="E45" s="28" t="s">
        <v>61</v>
      </c>
      <c r="F45" s="28">
        <v>2.9579883945841354</v>
      </c>
      <c r="G45" s="28">
        <v>13.6</v>
      </c>
      <c r="H45" s="28">
        <v>0.6</v>
      </c>
      <c r="I45" s="30">
        <v>1.9000000000000001E-4</v>
      </c>
      <c r="J45" s="30">
        <f t="shared" si="2"/>
        <v>5.0000000000000004E-6</v>
      </c>
      <c r="K45" s="27">
        <v>1.165723209057193</v>
      </c>
      <c r="L45" s="30">
        <v>8.3689999999999998</v>
      </c>
      <c r="M45">
        <f t="shared" si="1"/>
        <v>11.816652399253543</v>
      </c>
    </row>
    <row r="46" spans="1:13" ht="16" x14ac:dyDescent="0.2">
      <c r="A46" s="28">
        <v>15</v>
      </c>
      <c r="B46" s="28">
        <v>24</v>
      </c>
      <c r="C46" s="28">
        <v>16</v>
      </c>
      <c r="D46" s="28" t="s">
        <v>66</v>
      </c>
      <c r="E46" s="28" t="s">
        <v>62</v>
      </c>
      <c r="F46" s="28">
        <v>2.5903288201160564</v>
      </c>
      <c r="G46" s="28">
        <v>13.6</v>
      </c>
      <c r="H46" s="28">
        <v>0.6</v>
      </c>
      <c r="I46" s="30">
        <v>1.9000000000000001E-4</v>
      </c>
      <c r="J46" s="30">
        <f t="shared" si="2"/>
        <v>5.0000000000000004E-6</v>
      </c>
      <c r="K46" s="27">
        <v>1.2112694384800573</v>
      </c>
      <c r="L46" s="30">
        <v>6.274</v>
      </c>
      <c r="M46">
        <f t="shared" si="1"/>
        <v>9.9588129583200331</v>
      </c>
    </row>
    <row r="47" spans="1:13" ht="16" x14ac:dyDescent="0.2">
      <c r="A47" s="28">
        <v>15</v>
      </c>
      <c r="B47" s="28">
        <v>24</v>
      </c>
      <c r="C47" s="28">
        <v>16</v>
      </c>
      <c r="D47" s="28" t="s">
        <v>66</v>
      </c>
      <c r="E47" s="28" t="s">
        <v>63</v>
      </c>
      <c r="F47" s="28">
        <v>3.1585299806576361</v>
      </c>
      <c r="G47" s="28">
        <v>13.6</v>
      </c>
      <c r="H47" s="28">
        <v>0.6</v>
      </c>
      <c r="I47" s="30">
        <v>1.9000000000000001E-4</v>
      </c>
      <c r="J47" s="30">
        <f t="shared" si="2"/>
        <v>5.0000000000000004E-6</v>
      </c>
      <c r="K47" s="27">
        <v>1.2997592556444795</v>
      </c>
      <c r="L47" s="30">
        <v>4.4470000000000001</v>
      </c>
      <c r="M47">
        <f t="shared" si="1"/>
        <v>11.316588462304479</v>
      </c>
    </row>
    <row r="48" spans="1:13" ht="16" x14ac:dyDescent="0.2">
      <c r="A48" s="28">
        <v>15</v>
      </c>
      <c r="B48" s="28">
        <v>24</v>
      </c>
      <c r="C48" s="28">
        <v>16</v>
      </c>
      <c r="D48" s="28" t="s">
        <v>66</v>
      </c>
      <c r="E48" s="28" t="s">
        <v>64</v>
      </c>
      <c r="F48" s="28">
        <v>2.7741586073500923</v>
      </c>
      <c r="G48" s="28">
        <v>13.6</v>
      </c>
      <c r="H48" s="28">
        <v>0.6</v>
      </c>
      <c r="I48" s="30">
        <v>1.9000000000000001E-4</v>
      </c>
      <c r="J48" s="30">
        <f t="shared" si="2"/>
        <v>5.0000000000000004E-6</v>
      </c>
      <c r="K48" s="27">
        <v>1.1429500943457611</v>
      </c>
      <c r="L48" s="30">
        <v>7.5670000000000002</v>
      </c>
      <c r="M48">
        <f t="shared" si="1"/>
        <v>11.303097074379812</v>
      </c>
    </row>
    <row r="49" spans="1:13" ht="16" x14ac:dyDescent="0.2">
      <c r="A49" s="28">
        <v>15</v>
      </c>
      <c r="B49" s="28">
        <v>24</v>
      </c>
      <c r="C49" s="28">
        <v>16</v>
      </c>
      <c r="D49" s="28" t="s">
        <v>66</v>
      </c>
      <c r="E49" s="28" t="s">
        <v>65</v>
      </c>
      <c r="F49" s="28">
        <v>1.9887040618955529</v>
      </c>
      <c r="G49" s="28">
        <v>13.6</v>
      </c>
      <c r="H49" s="28">
        <v>0.6</v>
      </c>
      <c r="I49" s="30">
        <v>1.9000000000000001E-4</v>
      </c>
      <c r="J49" s="30">
        <f t="shared" si="2"/>
        <v>5.0000000000000004E-6</v>
      </c>
      <c r="K49" s="27">
        <v>1.0225779165853341</v>
      </c>
      <c r="L49" s="30">
        <v>13.462</v>
      </c>
      <c r="M49">
        <f t="shared" si="1"/>
        <v>9.056641754783783</v>
      </c>
    </row>
    <row r="50" spans="1:13" ht="16" x14ac:dyDescent="0.2">
      <c r="A50" s="28">
        <v>30</v>
      </c>
      <c r="B50" s="28">
        <v>16</v>
      </c>
      <c r="C50" s="28">
        <v>16</v>
      </c>
      <c r="D50" s="28" t="s">
        <v>67</v>
      </c>
      <c r="E50" s="28" t="s">
        <v>58</v>
      </c>
      <c r="F50" s="28">
        <v>2.9273500967117938</v>
      </c>
      <c r="G50" s="28">
        <v>13.6</v>
      </c>
      <c r="H50" s="28">
        <v>0.6</v>
      </c>
      <c r="I50" s="30">
        <v>1.9000000000000001E-4</v>
      </c>
      <c r="J50" s="30">
        <f t="shared" si="2"/>
        <v>5.0000000000000004E-6</v>
      </c>
      <c r="K50" s="30">
        <v>1.1611685861149068</v>
      </c>
      <c r="L50" s="30">
        <v>9.3770000000000007</v>
      </c>
      <c r="M50">
        <f t="shared" si="1"/>
        <v>11.740127807666401</v>
      </c>
    </row>
    <row r="51" spans="1:13" ht="16" x14ac:dyDescent="0.2">
      <c r="A51" s="28">
        <v>30</v>
      </c>
      <c r="B51" s="28">
        <v>16</v>
      </c>
      <c r="C51" s="28">
        <v>16</v>
      </c>
      <c r="D51" s="28" t="s">
        <v>67</v>
      </c>
      <c r="E51" s="28" t="s">
        <v>59</v>
      </c>
      <c r="F51" s="28">
        <v>2.8605029013539602</v>
      </c>
      <c r="G51" s="28">
        <v>13.6</v>
      </c>
      <c r="H51" s="28">
        <v>0.6</v>
      </c>
      <c r="I51" s="30">
        <v>1.9000000000000001E-4</v>
      </c>
      <c r="J51" s="30">
        <f t="shared" si="2"/>
        <v>5.0000000000000004E-6</v>
      </c>
      <c r="K51" s="30">
        <v>0.96076517665430439</v>
      </c>
      <c r="L51" s="30">
        <v>6.8520000000000003</v>
      </c>
      <c r="M51">
        <f t="shared" si="1"/>
        <v>13.864958594719306</v>
      </c>
    </row>
    <row r="52" spans="1:13" ht="16" x14ac:dyDescent="0.2">
      <c r="A52" s="28">
        <v>30</v>
      </c>
      <c r="B52" s="28">
        <v>16</v>
      </c>
      <c r="C52" s="28">
        <v>16</v>
      </c>
      <c r="D52" s="28" t="s">
        <v>67</v>
      </c>
      <c r="E52" s="28" t="s">
        <v>60</v>
      </c>
      <c r="F52" s="28">
        <v>3.2058800773694345</v>
      </c>
      <c r="G52" s="28">
        <v>13.6</v>
      </c>
      <c r="H52" s="28">
        <v>0.6</v>
      </c>
      <c r="I52" s="30">
        <v>1.9000000000000001E-4</v>
      </c>
      <c r="J52" s="30">
        <f t="shared" si="2"/>
        <v>5.0000000000000004E-6</v>
      </c>
      <c r="K52" s="30">
        <v>1.132539527620535</v>
      </c>
      <c r="L52" s="30">
        <v>9.4130000000000003</v>
      </c>
      <c r="M52">
        <f t="shared" si="1"/>
        <v>13.182183167522886</v>
      </c>
    </row>
    <row r="53" spans="1:13" ht="16" x14ac:dyDescent="0.2">
      <c r="A53" s="28">
        <v>30</v>
      </c>
      <c r="B53" s="28">
        <v>16</v>
      </c>
      <c r="C53" s="28">
        <v>16</v>
      </c>
      <c r="D53" s="28" t="s">
        <v>67</v>
      </c>
      <c r="E53" s="28" t="s">
        <v>61</v>
      </c>
      <c r="F53" s="28">
        <v>3.9411992263056077</v>
      </c>
      <c r="G53" s="28">
        <v>13.6</v>
      </c>
      <c r="H53" s="28">
        <v>0.6</v>
      </c>
      <c r="I53" s="30">
        <v>1.9000000000000001E-4</v>
      </c>
      <c r="J53" s="30">
        <f t="shared" si="2"/>
        <v>5.0000000000000004E-6</v>
      </c>
      <c r="K53" s="30">
        <v>1.0746307502114647</v>
      </c>
      <c r="L53" s="30">
        <v>7.3769999999999998</v>
      </c>
      <c r="M53">
        <f t="shared" si="1"/>
        <v>17.079004899478441</v>
      </c>
    </row>
    <row r="54" spans="1:13" ht="16" x14ac:dyDescent="0.2">
      <c r="A54" s="28">
        <v>30</v>
      </c>
      <c r="B54" s="28">
        <v>16</v>
      </c>
      <c r="C54" s="28">
        <v>16</v>
      </c>
      <c r="D54" s="28" t="s">
        <v>67</v>
      </c>
      <c r="E54" s="28" t="s">
        <v>62</v>
      </c>
      <c r="F54" s="28">
        <v>3.1278916827852963</v>
      </c>
      <c r="G54" s="28">
        <v>13.6</v>
      </c>
      <c r="H54" s="28">
        <v>0.6</v>
      </c>
      <c r="I54" s="30">
        <v>1.9000000000000001E-4</v>
      </c>
      <c r="J54" s="30">
        <f t="shared" si="2"/>
        <v>5.0000000000000004E-6</v>
      </c>
      <c r="K54" s="30">
        <v>0.99525017893161583</v>
      </c>
      <c r="L54" s="30">
        <v>7.7549999999999999</v>
      </c>
      <c r="M54">
        <f t="shared" si="1"/>
        <v>14.635679105228988</v>
      </c>
    </row>
    <row r="55" spans="1:13" ht="16" x14ac:dyDescent="0.2">
      <c r="A55" s="28">
        <v>30</v>
      </c>
      <c r="B55" s="28">
        <v>16</v>
      </c>
      <c r="C55" s="28">
        <v>16</v>
      </c>
      <c r="D55" s="28" t="s">
        <v>67</v>
      </c>
      <c r="E55" s="28" t="s">
        <v>63</v>
      </c>
      <c r="F55" s="28">
        <v>2.2365957446808533</v>
      </c>
      <c r="G55" s="28">
        <v>13.6</v>
      </c>
      <c r="H55" s="28">
        <v>0.6</v>
      </c>
      <c r="I55" s="30">
        <v>1.9000000000000001E-4</v>
      </c>
      <c r="J55" s="30">
        <f t="shared" si="2"/>
        <v>5.0000000000000004E-6</v>
      </c>
      <c r="K55" s="30">
        <v>0.77727893812219429</v>
      </c>
      <c r="L55" s="30">
        <v>15.500999999999999</v>
      </c>
      <c r="M55">
        <f t="shared" si="1"/>
        <v>13.399976364227266</v>
      </c>
    </row>
    <row r="56" spans="1:13" ht="16" x14ac:dyDescent="0.2">
      <c r="A56" s="28">
        <v>30</v>
      </c>
      <c r="B56" s="28">
        <v>16</v>
      </c>
      <c r="C56" s="28">
        <v>16</v>
      </c>
      <c r="D56" s="28" t="s">
        <v>67</v>
      </c>
      <c r="E56" s="28" t="s">
        <v>64</v>
      </c>
      <c r="F56" s="28">
        <v>2.2811605415860754</v>
      </c>
      <c r="G56" s="28">
        <v>13.6</v>
      </c>
      <c r="H56" s="28">
        <v>0.6</v>
      </c>
      <c r="I56" s="30">
        <v>1.9000000000000001E-4</v>
      </c>
      <c r="J56" s="30">
        <f t="shared" si="2"/>
        <v>5.0000000000000004E-6</v>
      </c>
      <c r="K56" s="30">
        <v>1.1422994339254346</v>
      </c>
      <c r="L56" s="30">
        <v>10.212999999999999</v>
      </c>
      <c r="M56">
        <f t="shared" si="1"/>
        <v>9.2997083130773035</v>
      </c>
    </row>
    <row r="57" spans="1:13" ht="16" x14ac:dyDescent="0.2">
      <c r="A57" s="28">
        <v>30</v>
      </c>
      <c r="B57" s="28">
        <v>16</v>
      </c>
      <c r="C57" s="28">
        <v>16</v>
      </c>
      <c r="D57" s="28" t="s">
        <v>67</v>
      </c>
      <c r="E57" s="28" t="s">
        <v>65</v>
      </c>
      <c r="F57" s="28">
        <v>2.3702901353965156</v>
      </c>
      <c r="G57" s="28">
        <v>13.6</v>
      </c>
      <c r="H57" s="28">
        <v>0.6</v>
      </c>
      <c r="I57" s="30">
        <v>1.9000000000000001E-4</v>
      </c>
      <c r="J57" s="30">
        <f t="shared" si="2"/>
        <v>5.0000000000000004E-6</v>
      </c>
      <c r="K57" s="30">
        <v>0.9959008393519424</v>
      </c>
      <c r="L57" s="30">
        <v>12.321999999999999</v>
      </c>
      <c r="M57">
        <f t="shared" si="1"/>
        <v>11.083549074809694</v>
      </c>
    </row>
    <row r="58" spans="1:13" ht="16" x14ac:dyDescent="0.2">
      <c r="A58" s="28">
        <v>30</v>
      </c>
      <c r="B58" s="28">
        <v>16</v>
      </c>
      <c r="C58" s="28">
        <v>16</v>
      </c>
      <c r="D58" s="28" t="s">
        <v>67</v>
      </c>
      <c r="E58" s="28" t="s">
        <v>58</v>
      </c>
      <c r="F58" s="28">
        <v>2.560486322188452</v>
      </c>
      <c r="G58" s="28">
        <v>13.6</v>
      </c>
      <c r="H58" s="28">
        <v>0.6</v>
      </c>
      <c r="I58" s="30">
        <v>1.9000000000000001E-4</v>
      </c>
      <c r="J58" s="30">
        <f t="shared" si="2"/>
        <v>5.0000000000000004E-6</v>
      </c>
      <c r="K58" s="30">
        <v>1.1611685861149068</v>
      </c>
      <c r="L58" s="30">
        <v>9.3770000000000007</v>
      </c>
      <c r="M58">
        <f t="shared" si="1"/>
        <v>10.26882186248926</v>
      </c>
    </row>
    <row r="59" spans="1:13" ht="16" x14ac:dyDescent="0.2">
      <c r="A59" s="28">
        <v>30</v>
      </c>
      <c r="B59" s="28">
        <v>16</v>
      </c>
      <c r="C59" s="28">
        <v>16</v>
      </c>
      <c r="D59" s="28" t="s">
        <v>67</v>
      </c>
      <c r="E59" s="28" t="s">
        <v>59</v>
      </c>
      <c r="F59" s="28">
        <v>2.7574468085106316</v>
      </c>
      <c r="G59" s="28">
        <v>13.6</v>
      </c>
      <c r="H59" s="28">
        <v>0.6</v>
      </c>
      <c r="I59" s="30">
        <v>1.9000000000000001E-4</v>
      </c>
      <c r="J59" s="30">
        <f t="shared" si="2"/>
        <v>5.0000000000000004E-6</v>
      </c>
      <c r="K59" s="30">
        <v>0.96076517665430439</v>
      </c>
      <c r="L59" s="30">
        <v>6.8520000000000003</v>
      </c>
      <c r="M59">
        <f t="shared" si="1"/>
        <v>13.365442072806331</v>
      </c>
    </row>
    <row r="60" spans="1:13" ht="16" x14ac:dyDescent="0.2">
      <c r="A60" s="28">
        <v>30</v>
      </c>
      <c r="B60" s="28">
        <v>16</v>
      </c>
      <c r="C60" s="28">
        <v>16</v>
      </c>
      <c r="D60" s="28" t="s">
        <v>67</v>
      </c>
      <c r="E60" s="28" t="s">
        <v>60</v>
      </c>
      <c r="F60" s="28">
        <v>3.0857142857142774</v>
      </c>
      <c r="G60" s="28">
        <v>13.6</v>
      </c>
      <c r="H60" s="28">
        <v>0.6</v>
      </c>
      <c r="I60" s="30">
        <v>1.9000000000000001E-4</v>
      </c>
      <c r="J60" s="30">
        <f t="shared" si="2"/>
        <v>5.0000000000000004E-6</v>
      </c>
      <c r="K60" s="30">
        <v>1.132539527620535</v>
      </c>
      <c r="L60" s="30">
        <v>9.4130000000000003</v>
      </c>
      <c r="M60">
        <f t="shared" si="1"/>
        <v>12.688076264631979</v>
      </c>
    </row>
    <row r="61" spans="1:13" ht="16" x14ac:dyDescent="0.2">
      <c r="A61" s="28">
        <v>30</v>
      </c>
      <c r="B61" s="28">
        <v>16</v>
      </c>
      <c r="C61" s="28">
        <v>16</v>
      </c>
      <c r="D61" s="28" t="s">
        <v>67</v>
      </c>
      <c r="E61" s="28" t="s">
        <v>61</v>
      </c>
      <c r="F61" s="28">
        <v>3.6109422492401153</v>
      </c>
      <c r="G61" s="28">
        <v>13.6</v>
      </c>
      <c r="H61" s="28">
        <v>0.6</v>
      </c>
      <c r="I61" s="30">
        <v>1.9000000000000001E-4</v>
      </c>
      <c r="J61" s="30">
        <f t="shared" si="2"/>
        <v>5.0000000000000004E-6</v>
      </c>
      <c r="K61" s="30">
        <v>1.0746307502114647</v>
      </c>
      <c r="L61" s="30">
        <v>7.3769999999999998</v>
      </c>
      <c r="M61">
        <f t="shared" si="1"/>
        <v>15.647851535867405</v>
      </c>
    </row>
    <row r="62" spans="1:13" ht="16" x14ac:dyDescent="0.2">
      <c r="A62" s="28">
        <v>30</v>
      </c>
      <c r="B62" s="28">
        <v>16</v>
      </c>
      <c r="C62" s="28">
        <v>16</v>
      </c>
      <c r="D62" s="28" t="s">
        <v>67</v>
      </c>
      <c r="E62" s="28" t="s">
        <v>62</v>
      </c>
      <c r="F62" s="28">
        <v>3.0857142857142796</v>
      </c>
      <c r="G62" s="28">
        <v>13.6</v>
      </c>
      <c r="H62" s="28">
        <v>0.6</v>
      </c>
      <c r="I62" s="30">
        <v>1.9000000000000001E-4</v>
      </c>
      <c r="J62" s="30">
        <f t="shared" si="2"/>
        <v>5.0000000000000004E-6</v>
      </c>
      <c r="K62" s="30">
        <v>0.99525017893161583</v>
      </c>
      <c r="L62" s="30">
        <v>7.7549999999999999</v>
      </c>
      <c r="M62">
        <f t="shared" si="1"/>
        <v>14.438327370697202</v>
      </c>
    </row>
    <row r="63" spans="1:13" ht="16" x14ac:dyDescent="0.2">
      <c r="A63" s="28">
        <v>30</v>
      </c>
      <c r="B63" s="28">
        <v>16</v>
      </c>
      <c r="C63" s="28">
        <v>16</v>
      </c>
      <c r="D63" s="28" t="s">
        <v>67</v>
      </c>
      <c r="E63" s="28" t="s">
        <v>63</v>
      </c>
      <c r="F63" s="28">
        <v>2.7574468085106352</v>
      </c>
      <c r="G63" s="28">
        <v>13.6</v>
      </c>
      <c r="H63" s="28">
        <v>0.6</v>
      </c>
      <c r="I63" s="30">
        <v>1.9000000000000001E-4</v>
      </c>
      <c r="J63" s="30">
        <f t="shared" si="2"/>
        <v>5.0000000000000004E-6</v>
      </c>
      <c r="K63" s="30">
        <v>0.77727893812219429</v>
      </c>
      <c r="L63" s="30">
        <v>15.500999999999999</v>
      </c>
      <c r="M63">
        <f t="shared" si="1"/>
        <v>16.520518805211662</v>
      </c>
    </row>
    <row r="64" spans="1:13" ht="16" x14ac:dyDescent="0.2">
      <c r="A64" s="28">
        <v>30</v>
      </c>
      <c r="B64" s="28">
        <v>16</v>
      </c>
      <c r="C64" s="28">
        <v>16</v>
      </c>
      <c r="D64" s="28" t="s">
        <v>67</v>
      </c>
      <c r="E64" s="28" t="s">
        <v>64</v>
      </c>
      <c r="F64" s="28">
        <v>2.4291793313069929</v>
      </c>
      <c r="G64" s="28">
        <v>13.6</v>
      </c>
      <c r="H64" s="28">
        <v>0.6</v>
      </c>
      <c r="I64" s="30">
        <v>1.9000000000000001E-4</v>
      </c>
      <c r="J64" s="30">
        <f t="shared" si="2"/>
        <v>5.0000000000000004E-6</v>
      </c>
      <c r="K64" s="30">
        <v>1.1422994339254346</v>
      </c>
      <c r="L64" s="30">
        <v>10.212999999999999</v>
      </c>
      <c r="M64">
        <f t="shared" si="1"/>
        <v>9.9031430754119896</v>
      </c>
    </row>
    <row r="65" spans="1:13" ht="16" x14ac:dyDescent="0.2">
      <c r="A65" s="28">
        <v>30</v>
      </c>
      <c r="B65" s="28">
        <v>16</v>
      </c>
      <c r="C65" s="28">
        <v>16</v>
      </c>
      <c r="D65" s="28" t="s">
        <v>67</v>
      </c>
      <c r="E65" s="28" t="s">
        <v>65</v>
      </c>
      <c r="F65" s="28">
        <v>2.7574468085106409</v>
      </c>
      <c r="G65" s="28">
        <v>13.6</v>
      </c>
      <c r="H65" s="28">
        <v>0.6</v>
      </c>
      <c r="I65" s="30">
        <v>1.9000000000000001E-4</v>
      </c>
      <c r="J65" s="30">
        <f t="shared" si="2"/>
        <v>5.0000000000000004E-6</v>
      </c>
      <c r="K65" s="30">
        <v>0.9959008393519424</v>
      </c>
      <c r="L65" s="30">
        <v>12.321999999999999</v>
      </c>
      <c r="M65">
        <f t="shared" si="1"/>
        <v>12.893905504185218</v>
      </c>
    </row>
    <row r="66" spans="1:13" ht="16" x14ac:dyDescent="0.2">
      <c r="A66" s="28">
        <v>30</v>
      </c>
      <c r="B66" s="28">
        <v>16</v>
      </c>
      <c r="C66" s="28">
        <v>16</v>
      </c>
      <c r="D66" s="28" t="s">
        <v>67</v>
      </c>
      <c r="E66" s="28" t="s">
        <v>58</v>
      </c>
      <c r="F66" s="28">
        <v>2.7574468085106347</v>
      </c>
      <c r="G66" s="28">
        <v>13.6</v>
      </c>
      <c r="H66" s="28">
        <v>0.6</v>
      </c>
      <c r="I66" s="30">
        <v>1.9000000000000001E-4</v>
      </c>
      <c r="J66" s="30">
        <f t="shared" ref="J66:J97" si="3">0.000005</f>
        <v>5.0000000000000004E-6</v>
      </c>
      <c r="K66" s="30">
        <v>1.1611685861149068</v>
      </c>
      <c r="L66" s="30">
        <v>9.3770000000000007</v>
      </c>
      <c r="M66">
        <f t="shared" si="1"/>
        <v>11.058731236526871</v>
      </c>
    </row>
    <row r="67" spans="1:13" ht="16" x14ac:dyDescent="0.2">
      <c r="A67" s="28">
        <v>30</v>
      </c>
      <c r="B67" s="28">
        <v>16</v>
      </c>
      <c r="C67" s="28">
        <v>16</v>
      </c>
      <c r="D67" s="28" t="s">
        <v>67</v>
      </c>
      <c r="E67" s="28" t="s">
        <v>59</v>
      </c>
      <c r="F67" s="28">
        <v>2.3730754352030963</v>
      </c>
      <c r="G67" s="28">
        <v>13.6</v>
      </c>
      <c r="H67" s="28">
        <v>0.6</v>
      </c>
      <c r="I67" s="30">
        <v>1.9000000000000001E-4</v>
      </c>
      <c r="J67" s="30">
        <f t="shared" si="3"/>
        <v>5.0000000000000004E-6</v>
      </c>
      <c r="K67" s="30">
        <v>0.96076517665430439</v>
      </c>
      <c r="L67" s="30">
        <v>6.8520000000000003</v>
      </c>
      <c r="M67">
        <f t="shared" ref="M67:M130" si="4">(F67/(G67*H67*K67))*(I67/J67)</f>
        <v>11.502380450536394</v>
      </c>
    </row>
    <row r="68" spans="1:13" ht="16" x14ac:dyDescent="0.2">
      <c r="A68" s="28">
        <v>30</v>
      </c>
      <c r="B68" s="28">
        <v>16</v>
      </c>
      <c r="C68" s="28">
        <v>16</v>
      </c>
      <c r="D68" s="28" t="s">
        <v>67</v>
      </c>
      <c r="E68" s="28" t="s">
        <v>60</v>
      </c>
      <c r="F68" s="28">
        <v>2.3730754352030949</v>
      </c>
      <c r="G68" s="28">
        <v>13.6</v>
      </c>
      <c r="H68" s="28">
        <v>0.6</v>
      </c>
      <c r="I68" s="30">
        <v>1.9000000000000001E-4</v>
      </c>
      <c r="J68" s="30">
        <f t="shared" si="3"/>
        <v>5.0000000000000004E-6</v>
      </c>
      <c r="K68" s="30">
        <v>1.132539527620535</v>
      </c>
      <c r="L68" s="30">
        <v>9.4130000000000003</v>
      </c>
      <c r="M68">
        <f t="shared" si="4"/>
        <v>9.7577932743088773</v>
      </c>
    </row>
    <row r="69" spans="1:13" ht="16" x14ac:dyDescent="0.2">
      <c r="A69" s="28">
        <v>30</v>
      </c>
      <c r="B69" s="28">
        <v>16</v>
      </c>
      <c r="C69" s="28">
        <v>16</v>
      </c>
      <c r="D69" s="28" t="s">
        <v>67</v>
      </c>
      <c r="E69" s="28" t="s">
        <v>61</v>
      </c>
      <c r="F69" s="28">
        <v>3.1919535783365536</v>
      </c>
      <c r="G69" s="28">
        <v>13.6</v>
      </c>
      <c r="H69" s="28">
        <v>0.6</v>
      </c>
      <c r="I69" s="30">
        <v>1.9000000000000001E-4</v>
      </c>
      <c r="J69" s="30">
        <f t="shared" si="3"/>
        <v>5.0000000000000004E-6</v>
      </c>
      <c r="K69" s="30">
        <v>1.0746307502114647</v>
      </c>
      <c r="L69" s="30">
        <v>7.3769999999999998</v>
      </c>
      <c r="M69">
        <f t="shared" si="4"/>
        <v>13.832183473358503</v>
      </c>
    </row>
    <row r="70" spans="1:13" ht="16" x14ac:dyDescent="0.2">
      <c r="A70" s="28">
        <v>30</v>
      </c>
      <c r="B70" s="28">
        <v>16</v>
      </c>
      <c r="C70" s="28">
        <v>16</v>
      </c>
      <c r="D70" s="28" t="s">
        <v>67</v>
      </c>
      <c r="E70" s="28" t="s">
        <v>62</v>
      </c>
      <c r="F70" s="28">
        <v>2.5569052224371376</v>
      </c>
      <c r="G70" s="28">
        <v>13.6</v>
      </c>
      <c r="H70" s="28">
        <v>0.6</v>
      </c>
      <c r="I70" s="30">
        <v>1.9000000000000001E-4</v>
      </c>
      <c r="J70" s="30">
        <f t="shared" si="3"/>
        <v>5.0000000000000004E-6</v>
      </c>
      <c r="K70" s="30">
        <v>0.99525017893161583</v>
      </c>
      <c r="L70" s="30">
        <v>7.7549999999999999</v>
      </c>
      <c r="M70">
        <f t="shared" si="4"/>
        <v>11.963983453784708</v>
      </c>
    </row>
    <row r="71" spans="1:13" ht="16" x14ac:dyDescent="0.2">
      <c r="A71" s="28">
        <v>30</v>
      </c>
      <c r="B71" s="28">
        <v>16</v>
      </c>
      <c r="C71" s="28">
        <v>16</v>
      </c>
      <c r="D71" s="28" t="s">
        <v>67</v>
      </c>
      <c r="E71" s="28" t="s">
        <v>63</v>
      </c>
      <c r="F71" s="28">
        <v>2.2226692456479706</v>
      </c>
      <c r="G71" s="28">
        <v>13.6</v>
      </c>
      <c r="H71" s="28">
        <v>0.6</v>
      </c>
      <c r="I71" s="30">
        <v>1.9000000000000001E-4</v>
      </c>
      <c r="J71" s="30">
        <f t="shared" si="3"/>
        <v>5.0000000000000004E-6</v>
      </c>
      <c r="K71" s="30">
        <v>0.77727893812219429</v>
      </c>
      <c r="L71" s="30">
        <v>15.500999999999999</v>
      </c>
      <c r="M71">
        <f t="shared" si="4"/>
        <v>13.316539400564578</v>
      </c>
    </row>
    <row r="72" spans="1:13" ht="16" x14ac:dyDescent="0.2">
      <c r="A72" s="28">
        <v>30</v>
      </c>
      <c r="B72" s="28">
        <v>16</v>
      </c>
      <c r="C72" s="28">
        <v>16</v>
      </c>
      <c r="D72" s="28" t="s">
        <v>67</v>
      </c>
      <c r="E72" s="28" t="s">
        <v>64</v>
      </c>
      <c r="F72" s="28">
        <v>2.1558220502901375</v>
      </c>
      <c r="G72" s="28">
        <v>13.6</v>
      </c>
      <c r="H72" s="28">
        <v>0.6</v>
      </c>
      <c r="I72" s="30">
        <v>1.9000000000000001E-4</v>
      </c>
      <c r="J72" s="30">
        <f t="shared" si="3"/>
        <v>5.0000000000000004E-6</v>
      </c>
      <c r="K72" s="30">
        <v>1.1422994339254346</v>
      </c>
      <c r="L72" s="30">
        <v>10.212999999999999</v>
      </c>
      <c r="M72">
        <f t="shared" si="4"/>
        <v>8.7887353288422876</v>
      </c>
    </row>
    <row r="73" spans="1:13" ht="16" x14ac:dyDescent="0.2">
      <c r="A73" s="28">
        <v>30</v>
      </c>
      <c r="B73" s="28">
        <v>16</v>
      </c>
      <c r="C73" s="28">
        <v>16</v>
      </c>
      <c r="D73" s="28" t="s">
        <v>67</v>
      </c>
      <c r="E73" s="28" t="s">
        <v>65</v>
      </c>
      <c r="F73" s="28">
        <v>2.1558220502901375</v>
      </c>
      <c r="G73" s="28">
        <v>13.6</v>
      </c>
      <c r="H73" s="28">
        <v>0.6</v>
      </c>
      <c r="I73" s="30">
        <v>1.9000000000000001E-4</v>
      </c>
      <c r="J73" s="30">
        <f t="shared" si="3"/>
        <v>5.0000000000000004E-6</v>
      </c>
      <c r="K73" s="30">
        <v>0.9959008393519424</v>
      </c>
      <c r="L73" s="30">
        <v>12.321999999999999</v>
      </c>
      <c r="M73">
        <f t="shared" si="4"/>
        <v>10.080689757817535</v>
      </c>
    </row>
    <row r="74" spans="1:13" ht="16" x14ac:dyDescent="0.2">
      <c r="A74" s="28">
        <v>15</v>
      </c>
      <c r="B74" s="28">
        <v>16</v>
      </c>
      <c r="C74" s="28">
        <v>16</v>
      </c>
      <c r="D74" s="28" t="s">
        <v>68</v>
      </c>
      <c r="E74" s="28" t="s">
        <v>58</v>
      </c>
      <c r="F74" s="28">
        <v>3.5289748549323026</v>
      </c>
      <c r="G74" s="28">
        <v>13.6</v>
      </c>
      <c r="H74" s="28">
        <v>0.6</v>
      </c>
      <c r="I74" s="30">
        <v>1.9000000000000001E-4</v>
      </c>
      <c r="J74" s="30">
        <f t="shared" si="3"/>
        <v>5.0000000000000004E-6</v>
      </c>
      <c r="K74" s="30">
        <v>1.1696271715791529</v>
      </c>
      <c r="L74" s="30">
        <v>7.3650000000000002</v>
      </c>
      <c r="M74">
        <f t="shared" si="4"/>
        <v>14.050589734619424</v>
      </c>
    </row>
    <row r="75" spans="1:13" ht="16" x14ac:dyDescent="0.2">
      <c r="A75" s="28">
        <v>15</v>
      </c>
      <c r="B75" s="28">
        <v>16</v>
      </c>
      <c r="C75" s="28">
        <v>16</v>
      </c>
      <c r="D75" s="28" t="s">
        <v>68</v>
      </c>
      <c r="E75" s="28" t="s">
        <v>59</v>
      </c>
      <c r="F75" s="28">
        <v>2.5485493230174101</v>
      </c>
      <c r="G75" s="28">
        <v>13.6</v>
      </c>
      <c r="H75" s="28">
        <v>0.6</v>
      </c>
      <c r="I75" s="30">
        <v>1.9000000000000001E-4</v>
      </c>
      <c r="J75" s="30">
        <f t="shared" si="3"/>
        <v>5.0000000000000004E-6</v>
      </c>
      <c r="K75" s="30">
        <v>1.012167349860108</v>
      </c>
      <c r="L75" s="30">
        <v>9.9909999999999997</v>
      </c>
      <c r="M75">
        <f t="shared" si="4"/>
        <v>11.725575220387142</v>
      </c>
    </row>
    <row r="76" spans="1:13" ht="16" x14ac:dyDescent="0.2">
      <c r="A76" s="28">
        <v>15</v>
      </c>
      <c r="B76" s="28">
        <v>16</v>
      </c>
      <c r="C76" s="28">
        <v>16</v>
      </c>
      <c r="D76" s="28" t="s">
        <v>68</v>
      </c>
      <c r="E76" s="28" t="s">
        <v>60</v>
      </c>
      <c r="F76" s="28">
        <v>1.8689361702127596</v>
      </c>
      <c r="G76" s="28">
        <v>13.6</v>
      </c>
      <c r="H76" s="28">
        <v>0.6</v>
      </c>
      <c r="I76" s="30">
        <v>1.9000000000000001E-4</v>
      </c>
      <c r="J76" s="30">
        <f t="shared" si="3"/>
        <v>5.0000000000000004E-6</v>
      </c>
      <c r="K76" s="30">
        <v>0.67642657297156628</v>
      </c>
      <c r="L76" s="30">
        <v>22.236999999999998</v>
      </c>
      <c r="M76">
        <f t="shared" si="4"/>
        <v>12.866702125251747</v>
      </c>
    </row>
    <row r="77" spans="1:13" ht="16" x14ac:dyDescent="0.2">
      <c r="A77" s="28">
        <v>15</v>
      </c>
      <c r="B77" s="28">
        <v>16</v>
      </c>
      <c r="C77" s="28">
        <v>16</v>
      </c>
      <c r="D77" s="28" t="s">
        <v>68</v>
      </c>
      <c r="E77" s="28" t="s">
        <v>61</v>
      </c>
      <c r="F77" s="28">
        <v>3.1613152804642115</v>
      </c>
      <c r="G77" s="28">
        <v>13.6</v>
      </c>
      <c r="H77" s="28">
        <v>0.6</v>
      </c>
      <c r="I77" s="30">
        <v>1.9000000000000001E-4</v>
      </c>
      <c r="J77" s="30">
        <f t="shared" si="3"/>
        <v>5.0000000000000004E-6</v>
      </c>
      <c r="K77" s="30">
        <v>1.2665755742078211</v>
      </c>
      <c r="L77" s="30">
        <v>7.1989999999999998</v>
      </c>
      <c r="M77">
        <f t="shared" si="4"/>
        <v>11.623318540870089</v>
      </c>
    </row>
    <row r="78" spans="1:13" ht="16" x14ac:dyDescent="0.2">
      <c r="A78" s="28">
        <v>15</v>
      </c>
      <c r="B78" s="28">
        <v>16</v>
      </c>
      <c r="C78" s="28">
        <v>16</v>
      </c>
      <c r="D78" s="28" t="s">
        <v>68</v>
      </c>
      <c r="E78" s="28" t="s">
        <v>62</v>
      </c>
      <c r="F78" s="28">
        <v>1.679535783365572</v>
      </c>
      <c r="G78" s="28">
        <v>13.6</v>
      </c>
      <c r="H78" s="28">
        <v>0.6</v>
      </c>
      <c r="I78" s="30">
        <v>1.9000000000000001E-4</v>
      </c>
      <c r="J78" s="30">
        <f t="shared" si="3"/>
        <v>5.0000000000000004E-6</v>
      </c>
      <c r="K78" s="30">
        <v>0.78118290064415397</v>
      </c>
      <c r="L78" s="30">
        <v>15.967000000000001</v>
      </c>
      <c r="M78">
        <f t="shared" si="4"/>
        <v>10.012210472303961</v>
      </c>
    </row>
    <row r="79" spans="1:13" ht="16" x14ac:dyDescent="0.2">
      <c r="A79" s="28">
        <v>15</v>
      </c>
      <c r="B79" s="28">
        <v>16</v>
      </c>
      <c r="C79" s="28">
        <v>16</v>
      </c>
      <c r="D79" s="28" t="s">
        <v>68</v>
      </c>
      <c r="E79" s="28" t="s">
        <v>63</v>
      </c>
      <c r="F79" s="28">
        <v>2.7602321083172097</v>
      </c>
      <c r="G79" s="28">
        <v>13.6</v>
      </c>
      <c r="H79" s="28">
        <v>0.6</v>
      </c>
      <c r="I79" s="30">
        <v>1.9000000000000001E-4</v>
      </c>
      <c r="J79" s="30">
        <f t="shared" si="3"/>
        <v>5.0000000000000004E-6</v>
      </c>
      <c r="K79" s="30">
        <v>0.85665950940204327</v>
      </c>
      <c r="L79" s="30">
        <v>17.783000000000001</v>
      </c>
      <c r="M79">
        <f t="shared" si="4"/>
        <v>15.004820388929158</v>
      </c>
    </row>
    <row r="80" spans="1:13" ht="16" x14ac:dyDescent="0.2">
      <c r="A80" s="28">
        <v>15</v>
      </c>
      <c r="B80" s="28">
        <v>16</v>
      </c>
      <c r="C80" s="28">
        <v>16</v>
      </c>
      <c r="D80" s="28" t="s">
        <v>68</v>
      </c>
      <c r="E80" s="28" t="s">
        <v>64</v>
      </c>
      <c r="F80" s="28">
        <v>2.7825145067698251</v>
      </c>
      <c r="G80" s="28">
        <v>13.6</v>
      </c>
      <c r="H80" s="28">
        <v>0.6</v>
      </c>
      <c r="I80" s="30">
        <v>1.9000000000000001E-4</v>
      </c>
      <c r="J80" s="30">
        <f t="shared" si="3"/>
        <v>5.0000000000000004E-6</v>
      </c>
      <c r="K80" s="30">
        <v>1.094150562821264</v>
      </c>
      <c r="L80" s="30">
        <v>10.036</v>
      </c>
      <c r="M80">
        <f t="shared" si="4"/>
        <v>11.842783419915836</v>
      </c>
    </row>
    <row r="81" spans="1:13" ht="16" x14ac:dyDescent="0.2">
      <c r="A81" s="28">
        <v>15</v>
      </c>
      <c r="B81" s="28">
        <v>16</v>
      </c>
      <c r="C81" s="28">
        <v>16</v>
      </c>
      <c r="D81" s="28" t="s">
        <v>68</v>
      </c>
      <c r="E81" s="28" t="s">
        <v>65</v>
      </c>
      <c r="F81" s="28">
        <v>2.1029013539651853</v>
      </c>
      <c r="G81" s="28">
        <v>13.6</v>
      </c>
      <c r="H81" s="28">
        <v>0.6</v>
      </c>
      <c r="I81" s="30">
        <v>1.9000000000000001E-4</v>
      </c>
      <c r="J81" s="30">
        <f t="shared" si="3"/>
        <v>5.0000000000000004E-6</v>
      </c>
      <c r="K81" s="30">
        <v>1.0050100852365151</v>
      </c>
      <c r="L81" s="30">
        <v>16.952000000000002</v>
      </c>
      <c r="M81">
        <f t="shared" si="4"/>
        <v>9.7441041794043972</v>
      </c>
    </row>
    <row r="82" spans="1:13" ht="16" x14ac:dyDescent="0.2">
      <c r="A82" s="28">
        <v>15</v>
      </c>
      <c r="B82" s="28">
        <v>16</v>
      </c>
      <c r="C82" s="28">
        <v>16</v>
      </c>
      <c r="D82" s="28" t="s">
        <v>68</v>
      </c>
      <c r="E82" s="28" t="s">
        <v>58</v>
      </c>
      <c r="F82" s="28">
        <v>3.4796352583586563</v>
      </c>
      <c r="G82" s="28">
        <v>13.6</v>
      </c>
      <c r="H82" s="28">
        <v>0.6</v>
      </c>
      <c r="I82" s="30">
        <v>1.9000000000000001E-4</v>
      </c>
      <c r="J82" s="30">
        <f t="shared" si="3"/>
        <v>5.0000000000000004E-6</v>
      </c>
      <c r="K82" s="30">
        <v>1.1696271715791529</v>
      </c>
      <c r="L82" s="30">
        <v>7.3650000000000002</v>
      </c>
      <c r="M82">
        <f t="shared" si="4"/>
        <v>13.8541444615229</v>
      </c>
    </row>
    <row r="83" spans="1:13" ht="16" x14ac:dyDescent="0.2">
      <c r="A83" s="28">
        <v>15</v>
      </c>
      <c r="B83" s="28">
        <v>16</v>
      </c>
      <c r="C83" s="28">
        <v>16</v>
      </c>
      <c r="D83" s="28" t="s">
        <v>68</v>
      </c>
      <c r="E83" s="28" t="s">
        <v>59</v>
      </c>
      <c r="F83" s="28">
        <v>2.9544072948328202</v>
      </c>
      <c r="G83" s="28">
        <v>13.6</v>
      </c>
      <c r="H83" s="28">
        <v>0.6</v>
      </c>
      <c r="I83" s="30">
        <v>1.9000000000000001E-4</v>
      </c>
      <c r="J83" s="30">
        <f t="shared" si="3"/>
        <v>5.0000000000000004E-6</v>
      </c>
      <c r="K83" s="30">
        <v>1.012167349860108</v>
      </c>
      <c r="L83" s="30">
        <v>9.9909999999999997</v>
      </c>
      <c r="M83">
        <f t="shared" si="4"/>
        <v>13.592879939324634</v>
      </c>
    </row>
    <row r="84" spans="1:13" ht="16" x14ac:dyDescent="0.2">
      <c r="A84" s="28">
        <v>15</v>
      </c>
      <c r="B84" s="28">
        <v>16</v>
      </c>
      <c r="C84" s="28">
        <v>16</v>
      </c>
      <c r="D84" s="28" t="s">
        <v>68</v>
      </c>
      <c r="E84" s="28" t="s">
        <v>60</v>
      </c>
      <c r="F84" s="28">
        <v>1.5100303951367793</v>
      </c>
      <c r="G84" s="28">
        <v>13.6</v>
      </c>
      <c r="H84" s="28">
        <v>0.6</v>
      </c>
      <c r="I84" s="30">
        <v>1.9000000000000001E-4</v>
      </c>
      <c r="J84" s="30">
        <f t="shared" si="3"/>
        <v>5.0000000000000004E-6</v>
      </c>
      <c r="K84" s="30">
        <v>0.67642657297156628</v>
      </c>
      <c r="L84" s="30">
        <v>22.236999999999998</v>
      </c>
      <c r="M84">
        <f t="shared" si="4"/>
        <v>10.395813192533657</v>
      </c>
    </row>
    <row r="85" spans="1:13" ht="16" x14ac:dyDescent="0.2">
      <c r="A85" s="28">
        <v>15</v>
      </c>
      <c r="B85" s="28">
        <v>16</v>
      </c>
      <c r="C85" s="28">
        <v>16</v>
      </c>
      <c r="D85" s="28" t="s">
        <v>68</v>
      </c>
      <c r="E85" s="28" t="s">
        <v>61</v>
      </c>
      <c r="F85" s="28">
        <v>3.8735562310030431</v>
      </c>
      <c r="G85" s="28">
        <v>13.6</v>
      </c>
      <c r="H85" s="28">
        <v>0.6</v>
      </c>
      <c r="I85" s="30">
        <v>1.9000000000000001E-4</v>
      </c>
      <c r="J85" s="30">
        <f t="shared" si="3"/>
        <v>5.0000000000000004E-6</v>
      </c>
      <c r="K85" s="30">
        <v>1.2665755742078211</v>
      </c>
      <c r="L85" s="30">
        <v>7.1989999999999998</v>
      </c>
      <c r="M85">
        <f t="shared" si="4"/>
        <v>14.242039772859737</v>
      </c>
    </row>
    <row r="86" spans="1:13" ht="16" x14ac:dyDescent="0.2">
      <c r="A86" s="28">
        <v>15</v>
      </c>
      <c r="B86" s="28">
        <v>16</v>
      </c>
      <c r="C86" s="28">
        <v>16</v>
      </c>
      <c r="D86" s="28" t="s">
        <v>68</v>
      </c>
      <c r="E86" s="28" t="s">
        <v>62</v>
      </c>
      <c r="F86" s="28">
        <v>1.8382978723404271</v>
      </c>
      <c r="G86" s="28">
        <v>13.6</v>
      </c>
      <c r="H86" s="28">
        <v>0.6</v>
      </c>
      <c r="I86" s="30">
        <v>1.9000000000000001E-4</v>
      </c>
      <c r="J86" s="30">
        <f t="shared" si="3"/>
        <v>5.0000000000000004E-6</v>
      </c>
      <c r="K86" s="30">
        <v>0.78118290064415397</v>
      </c>
      <c r="L86" s="30">
        <v>15.967000000000001</v>
      </c>
      <c r="M86">
        <f t="shared" si="4"/>
        <v>10.958638327894883</v>
      </c>
    </row>
    <row r="87" spans="1:13" ht="16" x14ac:dyDescent="0.2">
      <c r="A87" s="28">
        <v>15</v>
      </c>
      <c r="B87" s="28">
        <v>16</v>
      </c>
      <c r="C87" s="28">
        <v>16</v>
      </c>
      <c r="D87" s="28" t="s">
        <v>68</v>
      </c>
      <c r="E87" s="28" t="s">
        <v>63</v>
      </c>
      <c r="F87" s="28">
        <v>2.8887537993920906</v>
      </c>
      <c r="G87" s="28">
        <v>13.6</v>
      </c>
      <c r="H87" s="28">
        <v>0.6</v>
      </c>
      <c r="I87" s="30">
        <v>1.9000000000000001E-4</v>
      </c>
      <c r="J87" s="30">
        <f t="shared" si="3"/>
        <v>5.0000000000000004E-6</v>
      </c>
      <c r="K87" s="30">
        <v>0.85665950940204327</v>
      </c>
      <c r="L87" s="30">
        <v>17.783000000000001</v>
      </c>
      <c r="M87">
        <f t="shared" si="4"/>
        <v>15.703473551048818</v>
      </c>
    </row>
    <row r="88" spans="1:13" ht="16" x14ac:dyDescent="0.2">
      <c r="A88" s="28">
        <v>15</v>
      </c>
      <c r="B88" s="28">
        <v>16</v>
      </c>
      <c r="C88" s="28">
        <v>16</v>
      </c>
      <c r="D88" s="28" t="s">
        <v>68</v>
      </c>
      <c r="E88" s="28" t="s">
        <v>64</v>
      </c>
      <c r="F88" s="28">
        <v>2.7574468085106352</v>
      </c>
      <c r="G88" s="28">
        <v>13.6</v>
      </c>
      <c r="H88" s="28">
        <v>0.6</v>
      </c>
      <c r="I88" s="30">
        <v>1.9000000000000001E-4</v>
      </c>
      <c r="J88" s="30">
        <f t="shared" si="3"/>
        <v>5.0000000000000004E-6</v>
      </c>
      <c r="K88" s="30">
        <v>1.094150562821264</v>
      </c>
      <c r="L88" s="30">
        <v>10.036</v>
      </c>
      <c r="M88">
        <f t="shared" si="4"/>
        <v>11.736091677394061</v>
      </c>
    </row>
    <row r="89" spans="1:13" ht="16" x14ac:dyDescent="0.2">
      <c r="A89" s="28">
        <v>15</v>
      </c>
      <c r="B89" s="28">
        <v>16</v>
      </c>
      <c r="C89" s="28">
        <v>16</v>
      </c>
      <c r="D89" s="28" t="s">
        <v>68</v>
      </c>
      <c r="E89" s="28" t="s">
        <v>65</v>
      </c>
      <c r="F89" s="28">
        <v>2.2322188449848044</v>
      </c>
      <c r="G89" s="28">
        <v>13.6</v>
      </c>
      <c r="H89" s="28">
        <v>0.6</v>
      </c>
      <c r="I89" s="30">
        <v>1.9000000000000001E-4</v>
      </c>
      <c r="J89" s="30">
        <f t="shared" si="3"/>
        <v>5.0000000000000004E-6</v>
      </c>
      <c r="K89" s="30">
        <v>1.0050100852365151</v>
      </c>
      <c r="L89" s="30">
        <v>16.952000000000002</v>
      </c>
      <c r="M89">
        <f t="shared" si="4"/>
        <v>10.343315883908925</v>
      </c>
    </row>
    <row r="90" spans="1:13" ht="16" x14ac:dyDescent="0.2">
      <c r="A90" s="28">
        <v>15</v>
      </c>
      <c r="B90" s="28">
        <v>16</v>
      </c>
      <c r="C90" s="28">
        <v>16</v>
      </c>
      <c r="D90" s="28" t="s">
        <v>68</v>
      </c>
      <c r="E90" s="28" t="s">
        <v>58</v>
      </c>
      <c r="F90" s="28">
        <v>3.1083945841392611</v>
      </c>
      <c r="G90" s="28">
        <v>13.6</v>
      </c>
      <c r="H90" s="28">
        <v>0.6</v>
      </c>
      <c r="I90" s="30">
        <v>1.9000000000000001E-4</v>
      </c>
      <c r="J90" s="30">
        <f t="shared" si="3"/>
        <v>5.0000000000000004E-6</v>
      </c>
      <c r="K90" s="30">
        <v>1.1696271715791529</v>
      </c>
      <c r="L90" s="30">
        <v>7.3650000000000002</v>
      </c>
      <c r="M90">
        <f t="shared" si="4"/>
        <v>12.376052205079127</v>
      </c>
    </row>
    <row r="91" spans="1:13" ht="16" x14ac:dyDescent="0.2">
      <c r="A91" s="28">
        <v>15</v>
      </c>
      <c r="B91" s="28">
        <v>16</v>
      </c>
      <c r="C91" s="28">
        <v>16</v>
      </c>
      <c r="D91" s="28" t="s">
        <v>68</v>
      </c>
      <c r="E91" s="28" t="s">
        <v>59</v>
      </c>
      <c r="F91" s="28">
        <v>2.4900580270793005</v>
      </c>
      <c r="G91" s="28">
        <v>13.6</v>
      </c>
      <c r="H91" s="28">
        <v>0.6</v>
      </c>
      <c r="I91" s="30">
        <v>1.9000000000000001E-4</v>
      </c>
      <c r="J91" s="30">
        <f t="shared" si="3"/>
        <v>5.0000000000000004E-6</v>
      </c>
      <c r="K91" s="30">
        <v>1.012167349860108</v>
      </c>
      <c r="L91" s="30">
        <v>9.9909999999999997</v>
      </c>
      <c r="M91">
        <f t="shared" si="4"/>
        <v>11.456463657952003</v>
      </c>
    </row>
    <row r="92" spans="1:13" ht="16" x14ac:dyDescent="0.2">
      <c r="A92" s="28">
        <v>15</v>
      </c>
      <c r="B92" s="28">
        <v>16</v>
      </c>
      <c r="C92" s="28">
        <v>16</v>
      </c>
      <c r="D92" s="28" t="s">
        <v>68</v>
      </c>
      <c r="E92" s="28" t="s">
        <v>60</v>
      </c>
      <c r="F92" s="28">
        <v>1.2366731141199239</v>
      </c>
      <c r="G92" s="28">
        <v>13.6</v>
      </c>
      <c r="H92" s="28">
        <v>0.6</v>
      </c>
      <c r="I92" s="30">
        <v>1.9000000000000001E-4</v>
      </c>
      <c r="J92" s="30">
        <f t="shared" si="3"/>
        <v>5.0000000000000004E-6</v>
      </c>
      <c r="K92" s="30">
        <v>0.67642657297156628</v>
      </c>
      <c r="L92" s="30">
        <v>22.236999999999998</v>
      </c>
      <c r="M92">
        <f t="shared" si="4"/>
        <v>8.5138833734900157</v>
      </c>
    </row>
    <row r="93" spans="1:13" ht="16" x14ac:dyDescent="0.2">
      <c r="A93" s="28">
        <v>15</v>
      </c>
      <c r="B93" s="28">
        <v>16</v>
      </c>
      <c r="C93" s="28">
        <v>16</v>
      </c>
      <c r="D93" s="28" t="s">
        <v>68</v>
      </c>
      <c r="E93" s="28" t="s">
        <v>61</v>
      </c>
      <c r="F93" s="28">
        <v>3.2086653771760121</v>
      </c>
      <c r="G93" s="28">
        <v>13.6</v>
      </c>
      <c r="H93" s="28">
        <v>0.6</v>
      </c>
      <c r="I93" s="30">
        <v>1.9000000000000001E-4</v>
      </c>
      <c r="J93" s="30">
        <f t="shared" si="3"/>
        <v>5.0000000000000004E-6</v>
      </c>
      <c r="K93" s="30">
        <v>1.2665755742078211</v>
      </c>
      <c r="L93" s="30">
        <v>7.1989999999999998</v>
      </c>
      <c r="M93">
        <f t="shared" si="4"/>
        <v>11.79741229875097</v>
      </c>
    </row>
    <row r="94" spans="1:13" ht="16" x14ac:dyDescent="0.2">
      <c r="A94" s="28">
        <v>15</v>
      </c>
      <c r="B94" s="28">
        <v>16</v>
      </c>
      <c r="C94" s="28">
        <v>16</v>
      </c>
      <c r="D94" s="28" t="s">
        <v>68</v>
      </c>
      <c r="E94" s="28" t="s">
        <v>62</v>
      </c>
      <c r="F94" s="28">
        <v>1.5207736943907171</v>
      </c>
      <c r="G94" s="28">
        <v>13.6</v>
      </c>
      <c r="H94" s="28">
        <v>0.6</v>
      </c>
      <c r="I94" s="30">
        <v>1.9000000000000001E-4</v>
      </c>
      <c r="J94" s="30">
        <f t="shared" si="3"/>
        <v>5.0000000000000004E-6</v>
      </c>
      <c r="K94" s="30">
        <v>0.78118290064415397</v>
      </c>
      <c r="L94" s="30">
        <v>15.967000000000001</v>
      </c>
      <c r="M94">
        <f t="shared" si="4"/>
        <v>9.0657826167130402</v>
      </c>
    </row>
    <row r="95" spans="1:13" ht="16" x14ac:dyDescent="0.2">
      <c r="A95" s="28">
        <v>15</v>
      </c>
      <c r="B95" s="28">
        <v>16</v>
      </c>
      <c r="C95" s="28">
        <v>16</v>
      </c>
      <c r="D95" s="28" t="s">
        <v>68</v>
      </c>
      <c r="E95" s="28" t="s">
        <v>63</v>
      </c>
      <c r="F95" s="28">
        <v>1.8382978723404271</v>
      </c>
      <c r="G95" s="28">
        <v>13.6</v>
      </c>
      <c r="H95" s="28">
        <v>0.6</v>
      </c>
      <c r="I95" s="30">
        <v>1.9000000000000001E-4</v>
      </c>
      <c r="J95" s="30">
        <f t="shared" si="3"/>
        <v>5.0000000000000004E-6</v>
      </c>
      <c r="K95" s="30">
        <v>0.85665950940204327</v>
      </c>
      <c r="L95" s="30">
        <v>17.783000000000001</v>
      </c>
      <c r="M95">
        <f t="shared" si="4"/>
        <v>9.9931195324856414</v>
      </c>
    </row>
    <row r="96" spans="1:13" ht="16" x14ac:dyDescent="0.2">
      <c r="A96" s="28">
        <v>15</v>
      </c>
      <c r="B96" s="28">
        <v>16</v>
      </c>
      <c r="C96" s="28">
        <v>16</v>
      </c>
      <c r="D96" s="28" t="s">
        <v>68</v>
      </c>
      <c r="E96" s="28" t="s">
        <v>64</v>
      </c>
      <c r="F96" s="28">
        <v>2.4232108317214722</v>
      </c>
      <c r="G96" s="28">
        <v>13.6</v>
      </c>
      <c r="H96" s="28">
        <v>0.6</v>
      </c>
      <c r="I96" s="30">
        <v>1.9000000000000001E-4</v>
      </c>
      <c r="J96" s="30">
        <f t="shared" si="3"/>
        <v>5.0000000000000004E-6</v>
      </c>
      <c r="K96" s="30">
        <v>1.094150562821264</v>
      </c>
      <c r="L96" s="30">
        <v>10.036</v>
      </c>
      <c r="M96">
        <f t="shared" si="4"/>
        <v>10.313535110437225</v>
      </c>
    </row>
    <row r="97" spans="1:13" ht="16" x14ac:dyDescent="0.2">
      <c r="A97" s="28">
        <v>15</v>
      </c>
      <c r="B97" s="28">
        <v>16</v>
      </c>
      <c r="C97" s="28">
        <v>16</v>
      </c>
      <c r="D97" s="28" t="s">
        <v>68</v>
      </c>
      <c r="E97" s="28" t="s">
        <v>65</v>
      </c>
      <c r="F97" s="28">
        <v>1.8382978723404273</v>
      </c>
      <c r="G97" s="28">
        <v>13.6</v>
      </c>
      <c r="H97" s="28">
        <v>0.6</v>
      </c>
      <c r="I97" s="30">
        <v>1.9000000000000001E-4</v>
      </c>
      <c r="J97" s="30">
        <f t="shared" si="3"/>
        <v>5.0000000000000004E-6</v>
      </c>
      <c r="K97" s="30">
        <v>1.0050100852365151</v>
      </c>
      <c r="L97" s="30">
        <v>16.952000000000002</v>
      </c>
      <c r="M97">
        <f t="shared" si="4"/>
        <v>8.5180248455720591</v>
      </c>
    </row>
    <row r="98" spans="1:13" ht="16" x14ac:dyDescent="0.2">
      <c r="A98" s="28">
        <v>30</v>
      </c>
      <c r="B98" s="28">
        <v>24</v>
      </c>
      <c r="C98" s="28">
        <v>24</v>
      </c>
      <c r="D98" s="28" t="s">
        <v>55</v>
      </c>
      <c r="E98" s="28" t="s">
        <v>58</v>
      </c>
      <c r="F98" s="28">
        <v>4.4206686930091221</v>
      </c>
      <c r="G98" s="28">
        <v>13.6</v>
      </c>
      <c r="H98" s="28">
        <v>0.6</v>
      </c>
      <c r="I98" s="30">
        <v>1.9000000000000001E-4</v>
      </c>
      <c r="J98" s="30">
        <f t="shared" ref="J98:J129" si="5">0.000005</f>
        <v>5.0000000000000004E-6</v>
      </c>
      <c r="K98" s="27">
        <v>0.89439781378098782</v>
      </c>
      <c r="L98" s="30">
        <v>5.6349999999999998</v>
      </c>
      <c r="M98">
        <f t="shared" si="4"/>
        <v>23.017103829746667</v>
      </c>
    </row>
    <row r="99" spans="1:13" ht="16" x14ac:dyDescent="0.2">
      <c r="A99" s="28">
        <v>30</v>
      </c>
      <c r="B99" s="28">
        <v>24</v>
      </c>
      <c r="C99" s="28">
        <v>24</v>
      </c>
      <c r="D99" s="28" t="s">
        <v>55</v>
      </c>
      <c r="E99" s="28" t="s">
        <v>59</v>
      </c>
      <c r="F99" s="28">
        <v>4.2893617021276622</v>
      </c>
      <c r="G99" s="28">
        <v>13.6</v>
      </c>
      <c r="H99" s="28">
        <v>0.6</v>
      </c>
      <c r="I99" s="30">
        <v>1.9000000000000001E-4</v>
      </c>
      <c r="J99" s="30">
        <f t="shared" si="5"/>
        <v>5.0000000000000004E-6</v>
      </c>
      <c r="K99" s="27">
        <v>1.0238792374259877</v>
      </c>
      <c r="L99" s="30">
        <v>6.2249999999999996</v>
      </c>
      <c r="M99">
        <f t="shared" si="4"/>
        <v>19.509106133556628</v>
      </c>
    </row>
    <row r="100" spans="1:13" ht="16" x14ac:dyDescent="0.2">
      <c r="A100" s="28">
        <v>30</v>
      </c>
      <c r="B100" s="28">
        <v>24</v>
      </c>
      <c r="C100" s="28">
        <v>24</v>
      </c>
      <c r="D100" s="28" t="s">
        <v>55</v>
      </c>
      <c r="E100" s="28" t="s">
        <v>60</v>
      </c>
      <c r="F100" s="28">
        <v>3.8079027355623087</v>
      </c>
      <c r="G100" s="28">
        <v>13.6</v>
      </c>
      <c r="H100" s="28">
        <v>0.6</v>
      </c>
      <c r="I100" s="30">
        <v>1.9000000000000001E-4</v>
      </c>
      <c r="J100" s="30">
        <f t="shared" si="5"/>
        <v>5.0000000000000004E-6</v>
      </c>
      <c r="K100" s="27">
        <v>0.74149261500422947</v>
      </c>
      <c r="L100" s="30">
        <v>3.9540000000000002</v>
      </c>
      <c r="M100">
        <f t="shared" si="4"/>
        <v>23.91511395713075</v>
      </c>
    </row>
    <row r="101" spans="1:13" ht="16" x14ac:dyDescent="0.2">
      <c r="A101" s="28">
        <v>30</v>
      </c>
      <c r="B101" s="28">
        <v>24</v>
      </c>
      <c r="C101" s="28">
        <v>24</v>
      </c>
      <c r="D101" s="28" t="s">
        <v>55</v>
      </c>
      <c r="E101" s="28" t="s">
        <v>61</v>
      </c>
      <c r="F101" s="28">
        <v>4.0048632218844924</v>
      </c>
      <c r="G101" s="28">
        <v>13.6</v>
      </c>
      <c r="H101" s="28">
        <v>0.6</v>
      </c>
      <c r="I101" s="30">
        <v>1.9000000000000001E-4</v>
      </c>
      <c r="J101" s="30">
        <f t="shared" si="5"/>
        <v>5.0000000000000004E-6</v>
      </c>
      <c r="K101" s="27">
        <v>1.0928492419806104</v>
      </c>
      <c r="L101" s="30">
        <v>5.2240000000000002</v>
      </c>
      <c r="M101">
        <f t="shared" si="4"/>
        <v>17.065572835469002</v>
      </c>
    </row>
    <row r="102" spans="1:13" ht="16" x14ac:dyDescent="0.2">
      <c r="A102" s="28">
        <v>30</v>
      </c>
      <c r="B102" s="28">
        <v>24</v>
      </c>
      <c r="C102" s="28">
        <v>24</v>
      </c>
      <c r="D102" s="28" t="s">
        <v>55</v>
      </c>
      <c r="E102" s="28" t="s">
        <v>62</v>
      </c>
      <c r="F102" s="28">
        <v>3.5234042553191474</v>
      </c>
      <c r="G102" s="28">
        <v>13.6</v>
      </c>
      <c r="H102" s="28">
        <v>0.6</v>
      </c>
      <c r="I102" s="30">
        <v>1.9000000000000001E-4</v>
      </c>
      <c r="J102" s="30">
        <f t="shared" si="5"/>
        <v>5.0000000000000004E-6</v>
      </c>
      <c r="K102" s="27">
        <v>0.86902205738824934</v>
      </c>
      <c r="L102" s="30">
        <v>8.0299999999999994</v>
      </c>
      <c r="M102">
        <f t="shared" si="4"/>
        <v>18.881005232281577</v>
      </c>
    </row>
    <row r="103" spans="1:13" ht="16" x14ac:dyDescent="0.2">
      <c r="A103" s="28">
        <v>30</v>
      </c>
      <c r="B103" s="28">
        <v>24</v>
      </c>
      <c r="C103" s="28">
        <v>24</v>
      </c>
      <c r="D103" s="28" t="s">
        <v>55</v>
      </c>
      <c r="E103" s="28" t="s">
        <v>63</v>
      </c>
      <c r="F103" s="28">
        <v>4.0705167173252272</v>
      </c>
      <c r="G103" s="28">
        <v>13.6</v>
      </c>
      <c r="H103" s="28">
        <v>0.6</v>
      </c>
      <c r="I103" s="30">
        <v>1.9000000000000001E-4</v>
      </c>
      <c r="J103" s="30">
        <f t="shared" si="5"/>
        <v>5.0000000000000004E-6</v>
      </c>
      <c r="K103" s="27">
        <v>1.0134686707007612</v>
      </c>
      <c r="L103" s="30">
        <v>6.8780000000000001</v>
      </c>
      <c r="M103">
        <f t="shared" si="4"/>
        <v>18.70392070541622</v>
      </c>
    </row>
    <row r="104" spans="1:13" ht="16" x14ac:dyDescent="0.2">
      <c r="A104" s="28">
        <v>30</v>
      </c>
      <c r="B104" s="28">
        <v>24</v>
      </c>
      <c r="C104" s="28">
        <v>24</v>
      </c>
      <c r="D104" s="28" t="s">
        <v>55</v>
      </c>
      <c r="E104" s="28" t="s">
        <v>64</v>
      </c>
      <c r="F104" s="28">
        <v>4.9240121580547083</v>
      </c>
      <c r="G104" s="28">
        <v>13.6</v>
      </c>
      <c r="H104" s="28">
        <v>0.6</v>
      </c>
      <c r="I104" s="30">
        <v>1.9000000000000001E-4</v>
      </c>
      <c r="J104" s="30">
        <f t="shared" si="5"/>
        <v>5.0000000000000004E-6</v>
      </c>
      <c r="K104" s="27">
        <v>0.92237621185503305</v>
      </c>
      <c r="L104" s="30">
        <v>4.9630000000000001</v>
      </c>
      <c r="M104">
        <f t="shared" si="4"/>
        <v>24.860190972551528</v>
      </c>
    </row>
    <row r="105" spans="1:13" ht="16" x14ac:dyDescent="0.2">
      <c r="A105" s="28">
        <v>30</v>
      </c>
      <c r="B105" s="28">
        <v>24</v>
      </c>
      <c r="C105" s="28">
        <v>24</v>
      </c>
      <c r="D105" s="28" t="s">
        <v>55</v>
      </c>
      <c r="E105" s="28" t="s">
        <v>65</v>
      </c>
      <c r="F105" s="28">
        <v>4.0048632218844924</v>
      </c>
      <c r="G105" s="28">
        <v>13.6</v>
      </c>
      <c r="H105" s="28">
        <v>0.6</v>
      </c>
      <c r="I105" s="30">
        <v>1.9000000000000001E-4</v>
      </c>
      <c r="J105" s="30">
        <f t="shared" si="5"/>
        <v>5.0000000000000004E-6</v>
      </c>
      <c r="K105" s="27">
        <v>1.1449020756067412</v>
      </c>
      <c r="L105" s="30">
        <v>9.4390000000000001</v>
      </c>
      <c r="M105">
        <f t="shared" si="4"/>
        <v>16.289688641994616</v>
      </c>
    </row>
    <row r="106" spans="1:13" ht="16" x14ac:dyDescent="0.2">
      <c r="A106" s="28">
        <v>30</v>
      </c>
      <c r="B106" s="28">
        <v>24</v>
      </c>
      <c r="C106" s="28">
        <v>24</v>
      </c>
      <c r="D106" s="28" t="s">
        <v>55</v>
      </c>
      <c r="E106" s="28" t="s">
        <v>58</v>
      </c>
      <c r="F106" s="28">
        <v>4.2018237082066898</v>
      </c>
      <c r="G106" s="28">
        <v>13.6</v>
      </c>
      <c r="H106" s="28">
        <v>0.6</v>
      </c>
      <c r="I106" s="30">
        <v>1.9000000000000001E-4</v>
      </c>
      <c r="J106" s="30">
        <f t="shared" si="5"/>
        <v>5.0000000000000004E-6</v>
      </c>
      <c r="K106" s="27">
        <v>0.89439781378098782</v>
      </c>
      <c r="L106" s="30">
        <v>5.6349999999999998</v>
      </c>
      <c r="M106">
        <f t="shared" si="4"/>
        <v>21.877643244115642</v>
      </c>
    </row>
    <row r="107" spans="1:13" ht="16" x14ac:dyDescent="0.2">
      <c r="A107" s="28">
        <v>30</v>
      </c>
      <c r="B107" s="28">
        <v>24</v>
      </c>
      <c r="C107" s="28">
        <v>24</v>
      </c>
      <c r="D107" s="28" t="s">
        <v>55</v>
      </c>
      <c r="E107" s="28" t="s">
        <v>59</v>
      </c>
      <c r="F107" s="28">
        <v>4.4644376899696088</v>
      </c>
      <c r="G107" s="28">
        <v>13.6</v>
      </c>
      <c r="H107" s="28">
        <v>0.6</v>
      </c>
      <c r="I107" s="30">
        <v>1.9000000000000001E-4</v>
      </c>
      <c r="J107" s="30">
        <f t="shared" si="5"/>
        <v>5.0000000000000004E-6</v>
      </c>
      <c r="K107" s="27">
        <v>1.0238792374259877</v>
      </c>
      <c r="L107" s="30">
        <v>6.2249999999999996</v>
      </c>
      <c r="M107">
        <f t="shared" si="4"/>
        <v>20.305396179824257</v>
      </c>
    </row>
    <row r="108" spans="1:13" ht="16" x14ac:dyDescent="0.2">
      <c r="A108" s="28">
        <v>30</v>
      </c>
      <c r="B108" s="28">
        <v>24</v>
      </c>
      <c r="C108" s="28">
        <v>24</v>
      </c>
      <c r="D108" s="28" t="s">
        <v>55</v>
      </c>
      <c r="E108" s="28" t="s">
        <v>60</v>
      </c>
      <c r="F108" s="28">
        <v>4.5957446808510678</v>
      </c>
      <c r="G108" s="28">
        <v>13.6</v>
      </c>
      <c r="H108" s="28">
        <v>0.6</v>
      </c>
      <c r="I108" s="30">
        <v>1.9000000000000001E-4</v>
      </c>
      <c r="J108" s="30">
        <f t="shared" si="5"/>
        <v>5.0000000000000004E-6</v>
      </c>
      <c r="K108" s="27">
        <v>0.74149261500422947</v>
      </c>
      <c r="L108" s="30">
        <v>3.9540000000000002</v>
      </c>
      <c r="M108">
        <f t="shared" si="4"/>
        <v>28.86306856895094</v>
      </c>
    </row>
    <row r="109" spans="1:13" ht="16" x14ac:dyDescent="0.2">
      <c r="A109" s="28">
        <v>30</v>
      </c>
      <c r="B109" s="28">
        <v>24</v>
      </c>
      <c r="C109" s="28">
        <v>24</v>
      </c>
      <c r="D109" s="28" t="s">
        <v>55</v>
      </c>
      <c r="E109" s="28" t="s">
        <v>61</v>
      </c>
      <c r="F109" s="28">
        <v>4.5957446808510616</v>
      </c>
      <c r="G109" s="28">
        <v>13.6</v>
      </c>
      <c r="H109" s="28">
        <v>0.6</v>
      </c>
      <c r="I109" s="30">
        <v>1.9000000000000001E-4</v>
      </c>
      <c r="J109" s="30">
        <f t="shared" si="5"/>
        <v>5.0000000000000004E-6</v>
      </c>
      <c r="K109" s="27">
        <v>1.0928492419806104</v>
      </c>
      <c r="L109" s="30">
        <v>5.2240000000000002</v>
      </c>
      <c r="M109">
        <f t="shared" si="4"/>
        <v>19.583444237423468</v>
      </c>
    </row>
    <row r="110" spans="1:13" ht="16" x14ac:dyDescent="0.2">
      <c r="A110" s="28">
        <v>30</v>
      </c>
      <c r="B110" s="28">
        <v>24</v>
      </c>
      <c r="C110" s="28">
        <v>24</v>
      </c>
      <c r="D110" s="28" t="s">
        <v>55</v>
      </c>
      <c r="E110" s="28" t="s">
        <v>62</v>
      </c>
      <c r="F110" s="28">
        <v>3.5452887537993845</v>
      </c>
      <c r="G110" s="28">
        <v>13.6</v>
      </c>
      <c r="H110" s="28">
        <v>0.6</v>
      </c>
      <c r="I110" s="30">
        <v>1.9000000000000001E-4</v>
      </c>
      <c r="J110" s="30">
        <f t="shared" si="5"/>
        <v>5.0000000000000004E-6</v>
      </c>
      <c r="K110" s="27">
        <v>0.86902205738824934</v>
      </c>
      <c r="L110" s="30">
        <v>8.0299999999999994</v>
      </c>
      <c r="M110">
        <f t="shared" si="4"/>
        <v>18.998278556705653</v>
      </c>
    </row>
    <row r="111" spans="1:13" ht="16" x14ac:dyDescent="0.2">
      <c r="A111" s="28">
        <v>30</v>
      </c>
      <c r="B111" s="28">
        <v>24</v>
      </c>
      <c r="C111" s="28">
        <v>24</v>
      </c>
      <c r="D111" s="28" t="s">
        <v>55</v>
      </c>
      <c r="E111" s="28" t="s">
        <v>63</v>
      </c>
      <c r="F111" s="28">
        <v>4.0048632218845013</v>
      </c>
      <c r="G111" s="28">
        <v>13.6</v>
      </c>
      <c r="H111" s="28">
        <v>0.6</v>
      </c>
      <c r="I111" s="30">
        <v>1.9000000000000001E-4</v>
      </c>
      <c r="J111" s="30">
        <f t="shared" si="5"/>
        <v>5.0000000000000004E-6</v>
      </c>
      <c r="K111" s="27">
        <v>1.0134686707007612</v>
      </c>
      <c r="L111" s="30">
        <v>6.8780000000000001</v>
      </c>
      <c r="M111">
        <f t="shared" si="4"/>
        <v>18.402244565006296</v>
      </c>
    </row>
    <row r="112" spans="1:13" ht="16" x14ac:dyDescent="0.2">
      <c r="A112" s="28">
        <v>30</v>
      </c>
      <c r="B112" s="28">
        <v>24</v>
      </c>
      <c r="C112" s="28">
        <v>24</v>
      </c>
      <c r="D112" s="28" t="s">
        <v>55</v>
      </c>
      <c r="E112" s="28" t="s">
        <v>64</v>
      </c>
      <c r="F112" s="28">
        <v>5.3179331306990925</v>
      </c>
      <c r="G112" s="28">
        <v>13.6</v>
      </c>
      <c r="H112" s="28">
        <v>0.6</v>
      </c>
      <c r="I112" s="30">
        <v>1.9000000000000001E-4</v>
      </c>
      <c r="J112" s="30">
        <f t="shared" si="5"/>
        <v>5.0000000000000004E-6</v>
      </c>
      <c r="K112" s="27">
        <v>0.92237621185503305</v>
      </c>
      <c r="L112" s="30">
        <v>4.9630000000000001</v>
      </c>
      <c r="M112">
        <f t="shared" si="4"/>
        <v>26.849006250355686</v>
      </c>
    </row>
    <row r="113" spans="1:13" ht="16" x14ac:dyDescent="0.2">
      <c r="A113" s="28">
        <v>30</v>
      </c>
      <c r="B113" s="28">
        <v>24</v>
      </c>
      <c r="C113" s="28">
        <v>24</v>
      </c>
      <c r="D113" s="28" t="s">
        <v>55</v>
      </c>
      <c r="E113" s="28" t="s">
        <v>65</v>
      </c>
      <c r="F113" s="28">
        <v>3.6765957446808435</v>
      </c>
      <c r="G113" s="28">
        <v>13.6</v>
      </c>
      <c r="H113" s="28">
        <v>0.6</v>
      </c>
      <c r="I113" s="30">
        <v>1.9000000000000001E-4</v>
      </c>
      <c r="J113" s="30">
        <f t="shared" si="5"/>
        <v>5.0000000000000004E-6</v>
      </c>
      <c r="K113" s="27">
        <v>1.1449020756067412</v>
      </c>
      <c r="L113" s="30">
        <v>9.4390000000000001</v>
      </c>
      <c r="M113">
        <f t="shared" si="4"/>
        <v>14.954468261503248</v>
      </c>
    </row>
    <row r="114" spans="1:13" ht="16" x14ac:dyDescent="0.2">
      <c r="A114" s="28">
        <v>30</v>
      </c>
      <c r="B114" s="28">
        <v>24</v>
      </c>
      <c r="C114" s="28">
        <v>24</v>
      </c>
      <c r="D114" s="28" t="s">
        <v>55</v>
      </c>
      <c r="E114" s="28" t="s">
        <v>58</v>
      </c>
      <c r="F114" s="28">
        <v>4.1799392097264478</v>
      </c>
      <c r="G114" s="28">
        <v>13.6</v>
      </c>
      <c r="H114" s="28">
        <v>0.6</v>
      </c>
      <c r="I114" s="30">
        <v>1.9000000000000001E-4</v>
      </c>
      <c r="J114" s="30">
        <f t="shared" si="5"/>
        <v>5.0000000000000004E-6</v>
      </c>
      <c r="K114" s="27">
        <v>0.89439781378098782</v>
      </c>
      <c r="L114" s="30">
        <v>5.6349999999999998</v>
      </c>
      <c r="M114">
        <f t="shared" si="4"/>
        <v>21.763697185552545</v>
      </c>
    </row>
    <row r="115" spans="1:13" ht="16" x14ac:dyDescent="0.2">
      <c r="A115" s="28">
        <v>30</v>
      </c>
      <c r="B115" s="28">
        <v>24</v>
      </c>
      <c r="C115" s="28">
        <v>24</v>
      </c>
      <c r="D115" s="28" t="s">
        <v>55</v>
      </c>
      <c r="E115" s="28" t="s">
        <v>59</v>
      </c>
      <c r="F115" s="28">
        <v>4.2018237082066898</v>
      </c>
      <c r="G115" s="28">
        <v>13.6</v>
      </c>
      <c r="H115" s="28">
        <v>0.6</v>
      </c>
      <c r="I115" s="30">
        <v>1.9000000000000001E-4</v>
      </c>
      <c r="J115" s="30">
        <f t="shared" si="5"/>
        <v>5.0000000000000004E-6</v>
      </c>
      <c r="K115" s="27">
        <v>1.0238792374259877</v>
      </c>
      <c r="L115" s="30">
        <v>6.2249999999999996</v>
      </c>
      <c r="M115">
        <f t="shared" si="4"/>
        <v>19.110961110422824</v>
      </c>
    </row>
    <row r="116" spans="1:13" ht="16" x14ac:dyDescent="0.2">
      <c r="A116" s="28">
        <v>30</v>
      </c>
      <c r="B116" s="28">
        <v>24</v>
      </c>
      <c r="C116" s="28">
        <v>24</v>
      </c>
      <c r="D116" s="28" t="s">
        <v>55</v>
      </c>
      <c r="E116" s="28" t="s">
        <v>60</v>
      </c>
      <c r="F116" s="28">
        <v>4.6176291793313045</v>
      </c>
      <c r="G116" s="28">
        <v>13.6</v>
      </c>
      <c r="H116" s="28">
        <v>0.6</v>
      </c>
      <c r="I116" s="30">
        <v>1.9000000000000001E-4</v>
      </c>
      <c r="J116" s="30">
        <f t="shared" si="5"/>
        <v>5.0000000000000004E-6</v>
      </c>
      <c r="K116" s="27">
        <v>0.74149261500422947</v>
      </c>
      <c r="L116" s="30">
        <v>3.9540000000000002</v>
      </c>
      <c r="M116">
        <f t="shared" si="4"/>
        <v>29.000511752612571</v>
      </c>
    </row>
    <row r="117" spans="1:13" ht="16" x14ac:dyDescent="0.2">
      <c r="A117" s="28">
        <v>30</v>
      </c>
      <c r="B117" s="28">
        <v>24</v>
      </c>
      <c r="C117" s="28">
        <v>24</v>
      </c>
      <c r="D117" s="28" t="s">
        <v>55</v>
      </c>
      <c r="E117" s="28" t="s">
        <v>61</v>
      </c>
      <c r="F117" s="28">
        <v>4.026747720364745</v>
      </c>
      <c r="G117" s="28">
        <v>13.6</v>
      </c>
      <c r="H117" s="28">
        <v>0.6</v>
      </c>
      <c r="I117" s="30">
        <v>1.9000000000000001E-4</v>
      </c>
      <c r="J117" s="30">
        <f t="shared" si="5"/>
        <v>5.0000000000000004E-6</v>
      </c>
      <c r="K117" s="27">
        <v>1.0928492419806104</v>
      </c>
      <c r="L117" s="30">
        <v>5.2240000000000002</v>
      </c>
      <c r="M117">
        <f t="shared" si="4"/>
        <v>17.158827331837724</v>
      </c>
    </row>
    <row r="118" spans="1:13" ht="16" x14ac:dyDescent="0.2">
      <c r="A118" s="28">
        <v>30</v>
      </c>
      <c r="B118" s="28">
        <v>24</v>
      </c>
      <c r="C118" s="28">
        <v>24</v>
      </c>
      <c r="D118" s="28" t="s">
        <v>55</v>
      </c>
      <c r="E118" s="28" t="s">
        <v>62</v>
      </c>
      <c r="F118" s="28">
        <v>3.9392097264437633</v>
      </c>
      <c r="G118" s="28">
        <v>13.6</v>
      </c>
      <c r="H118" s="28">
        <v>0.6</v>
      </c>
      <c r="I118" s="30">
        <v>1.9000000000000001E-4</v>
      </c>
      <c r="J118" s="30">
        <f t="shared" si="5"/>
        <v>5.0000000000000004E-6</v>
      </c>
      <c r="K118" s="27">
        <v>0.86902205738824934</v>
      </c>
      <c r="L118" s="30">
        <v>8.0299999999999994</v>
      </c>
      <c r="M118">
        <f t="shared" si="4"/>
        <v>21.109198396339629</v>
      </c>
    </row>
    <row r="119" spans="1:13" ht="16" x14ac:dyDescent="0.2">
      <c r="A119" s="28">
        <v>30</v>
      </c>
      <c r="B119" s="28">
        <v>24</v>
      </c>
      <c r="C119" s="28">
        <v>24</v>
      </c>
      <c r="D119" s="28" t="s">
        <v>55</v>
      </c>
      <c r="E119" s="28" t="s">
        <v>63</v>
      </c>
      <c r="F119" s="28">
        <v>3.9392097264437727</v>
      </c>
      <c r="G119" s="28">
        <v>13.6</v>
      </c>
      <c r="H119" s="28">
        <v>0.6</v>
      </c>
      <c r="I119" s="30">
        <v>1.9000000000000001E-4</v>
      </c>
      <c r="J119" s="30">
        <f t="shared" si="5"/>
        <v>5.0000000000000004E-6</v>
      </c>
      <c r="K119" s="27">
        <v>1.0134686707007612</v>
      </c>
      <c r="L119" s="30">
        <v>6.8780000000000001</v>
      </c>
      <c r="M119">
        <f t="shared" si="4"/>
        <v>18.100568424596361</v>
      </c>
    </row>
    <row r="120" spans="1:13" ht="16" x14ac:dyDescent="0.2">
      <c r="A120" s="28">
        <v>30</v>
      </c>
      <c r="B120" s="28">
        <v>24</v>
      </c>
      <c r="C120" s="28">
        <v>24</v>
      </c>
      <c r="D120" s="28" t="s">
        <v>55</v>
      </c>
      <c r="E120" s="28" t="s">
        <v>64</v>
      </c>
      <c r="F120" s="28">
        <v>5.0334346504559306</v>
      </c>
      <c r="G120" s="28">
        <v>13.6</v>
      </c>
      <c r="H120" s="28">
        <v>0.6</v>
      </c>
      <c r="I120" s="30">
        <v>1.9000000000000001E-4</v>
      </c>
      <c r="J120" s="30">
        <f t="shared" si="5"/>
        <v>5.0000000000000004E-6</v>
      </c>
      <c r="K120" s="27">
        <v>0.92237621185503305</v>
      </c>
      <c r="L120" s="30">
        <v>4.9630000000000001</v>
      </c>
      <c r="M120">
        <f t="shared" si="4"/>
        <v>25.412639660830482</v>
      </c>
    </row>
    <row r="121" spans="1:13" ht="16" x14ac:dyDescent="0.2">
      <c r="A121" s="28">
        <v>30</v>
      </c>
      <c r="B121" s="28">
        <v>24</v>
      </c>
      <c r="C121" s="28">
        <v>24</v>
      </c>
      <c r="D121" s="28" t="s">
        <v>55</v>
      </c>
      <c r="E121" s="28" t="s">
        <v>65</v>
      </c>
      <c r="F121" s="28">
        <v>3.6765957446808444</v>
      </c>
      <c r="G121" s="28">
        <v>13.6</v>
      </c>
      <c r="H121" s="28">
        <v>0.6</v>
      </c>
      <c r="I121" s="30">
        <v>1.9000000000000001E-4</v>
      </c>
      <c r="J121" s="30">
        <f t="shared" si="5"/>
        <v>5.0000000000000004E-6</v>
      </c>
      <c r="K121" s="27">
        <v>1.1449020756067412</v>
      </c>
      <c r="L121" s="30">
        <v>9.4390000000000001</v>
      </c>
      <c r="M121">
        <f t="shared" si="4"/>
        <v>14.95446826150325</v>
      </c>
    </row>
    <row r="122" spans="1:13" ht="16" x14ac:dyDescent="0.2">
      <c r="A122" s="28">
        <v>15</v>
      </c>
      <c r="B122" s="28">
        <v>24</v>
      </c>
      <c r="C122" s="28">
        <v>24</v>
      </c>
      <c r="D122" s="28" t="s">
        <v>66</v>
      </c>
      <c r="E122" s="28" t="s">
        <v>58</v>
      </c>
      <c r="F122" s="28">
        <v>3.9392097264437629</v>
      </c>
      <c r="G122" s="28">
        <v>13.6</v>
      </c>
      <c r="H122" s="28">
        <v>0.6</v>
      </c>
      <c r="I122" s="30">
        <v>1.9000000000000001E-4</v>
      </c>
      <c r="J122" s="30">
        <f t="shared" si="5"/>
        <v>5.0000000000000004E-6</v>
      </c>
      <c r="K122" s="27">
        <v>1.222981326045937</v>
      </c>
      <c r="L122" s="30">
        <v>5.3150000000000004</v>
      </c>
      <c r="M122">
        <f t="shared" si="4"/>
        <v>14.999704925596514</v>
      </c>
    </row>
    <row r="123" spans="1:13" ht="16" x14ac:dyDescent="0.2">
      <c r="A123" s="28">
        <v>15</v>
      </c>
      <c r="B123" s="28">
        <v>24</v>
      </c>
      <c r="C123" s="28">
        <v>24</v>
      </c>
      <c r="D123" s="28" t="s">
        <v>66</v>
      </c>
      <c r="E123" s="28" t="s">
        <v>59</v>
      </c>
      <c r="F123" s="28">
        <v>3.6765957446808444</v>
      </c>
      <c r="G123" s="28">
        <v>13.6</v>
      </c>
      <c r="H123" s="28">
        <v>0.6</v>
      </c>
      <c r="I123" s="30">
        <v>1.9000000000000001E-4</v>
      </c>
      <c r="J123" s="30">
        <f t="shared" si="5"/>
        <v>5.0000000000000004E-6</v>
      </c>
      <c r="K123" s="27">
        <v>1.2021601925954843</v>
      </c>
      <c r="L123" s="30">
        <v>6.69</v>
      </c>
      <c r="M123">
        <f t="shared" si="4"/>
        <v>14.24219655387591</v>
      </c>
    </row>
    <row r="124" spans="1:13" ht="16" x14ac:dyDescent="0.2">
      <c r="A124" s="28">
        <v>15</v>
      </c>
      <c r="B124" s="28">
        <v>24</v>
      </c>
      <c r="C124" s="28">
        <v>24</v>
      </c>
      <c r="D124" s="28" t="s">
        <v>66</v>
      </c>
      <c r="E124" s="28" t="s">
        <v>60</v>
      </c>
      <c r="F124" s="28">
        <v>2.8668693009118469</v>
      </c>
      <c r="G124" s="28">
        <v>13.6</v>
      </c>
      <c r="H124" s="28">
        <v>0.6</v>
      </c>
      <c r="I124" s="30">
        <v>1.9000000000000001E-4</v>
      </c>
      <c r="J124" s="30">
        <f t="shared" si="5"/>
        <v>5.0000000000000004E-6</v>
      </c>
      <c r="K124" s="27">
        <v>0.88854186999804818</v>
      </c>
      <c r="L124" s="30">
        <v>11.787000000000001</v>
      </c>
      <c r="M124">
        <f t="shared" si="4"/>
        <v>15.025309772415076</v>
      </c>
    </row>
    <row r="125" spans="1:13" ht="16" x14ac:dyDescent="0.2">
      <c r="A125" s="28">
        <v>15</v>
      </c>
      <c r="B125" s="28">
        <v>24</v>
      </c>
      <c r="C125" s="28">
        <v>24</v>
      </c>
      <c r="D125" s="28" t="s">
        <v>66</v>
      </c>
      <c r="E125" s="28" t="s">
        <v>61</v>
      </c>
      <c r="F125" s="28">
        <v>3.4139817629179259</v>
      </c>
      <c r="G125" s="28">
        <v>13.6</v>
      </c>
      <c r="H125" s="28">
        <v>0.6</v>
      </c>
      <c r="I125" s="30">
        <v>1.9000000000000001E-4</v>
      </c>
      <c r="J125" s="30">
        <f t="shared" si="5"/>
        <v>5.0000000000000004E-6</v>
      </c>
      <c r="K125" s="27">
        <v>1.165723209057193</v>
      </c>
      <c r="L125" s="30">
        <v>8.3689999999999998</v>
      </c>
      <c r="M125">
        <f t="shared" si="4"/>
        <v>13.638267095183659</v>
      </c>
    </row>
    <row r="126" spans="1:13" ht="16" x14ac:dyDescent="0.2">
      <c r="A126" s="28">
        <v>15</v>
      </c>
      <c r="B126" s="28">
        <v>24</v>
      </c>
      <c r="C126" s="28">
        <v>24</v>
      </c>
      <c r="D126" s="28" t="s">
        <v>66</v>
      </c>
      <c r="E126" s="28" t="s">
        <v>62</v>
      </c>
      <c r="F126" s="28">
        <v>3.4139817629179259</v>
      </c>
      <c r="G126" s="28">
        <v>13.6</v>
      </c>
      <c r="H126" s="28">
        <v>0.6</v>
      </c>
      <c r="I126" s="30">
        <v>1.9000000000000001E-4</v>
      </c>
      <c r="J126" s="30">
        <f t="shared" si="5"/>
        <v>5.0000000000000004E-6</v>
      </c>
      <c r="K126" s="27">
        <v>1.2112694384800573</v>
      </c>
      <c r="L126" s="30">
        <v>6.274</v>
      </c>
      <c r="M126">
        <f t="shared" si="4"/>
        <v>13.125440120182123</v>
      </c>
    </row>
    <row r="127" spans="1:13" ht="16" x14ac:dyDescent="0.2">
      <c r="A127" s="28">
        <v>15</v>
      </c>
      <c r="B127" s="28">
        <v>24</v>
      </c>
      <c r="C127" s="28">
        <v>24</v>
      </c>
      <c r="D127" s="28" t="s">
        <v>66</v>
      </c>
      <c r="E127" s="28" t="s">
        <v>63</v>
      </c>
      <c r="F127" s="28">
        <v>4.2674772036474158</v>
      </c>
      <c r="G127" s="28">
        <v>13.6</v>
      </c>
      <c r="H127" s="28">
        <v>0.6</v>
      </c>
      <c r="I127" s="30">
        <v>1.9000000000000001E-4</v>
      </c>
      <c r="J127" s="30">
        <f t="shared" si="5"/>
        <v>5.0000000000000004E-6</v>
      </c>
      <c r="K127" s="27">
        <v>1.2997592556444795</v>
      </c>
      <c r="L127" s="30">
        <v>4.4470000000000001</v>
      </c>
      <c r="M127">
        <f t="shared" si="4"/>
        <v>15.289797336635889</v>
      </c>
    </row>
    <row r="128" spans="1:13" ht="16" x14ac:dyDescent="0.2">
      <c r="A128" s="28">
        <v>15</v>
      </c>
      <c r="B128" s="28">
        <v>24</v>
      </c>
      <c r="C128" s="28">
        <v>24</v>
      </c>
      <c r="D128" s="28" t="s">
        <v>66</v>
      </c>
      <c r="E128" s="28" t="s">
        <v>64</v>
      </c>
      <c r="F128" s="28">
        <v>3.5671732522796291</v>
      </c>
      <c r="G128" s="28">
        <v>13.6</v>
      </c>
      <c r="H128" s="28">
        <v>0.6</v>
      </c>
      <c r="I128" s="30">
        <v>1.9000000000000001E-4</v>
      </c>
      <c r="J128" s="30">
        <f t="shared" si="5"/>
        <v>5.0000000000000004E-6</v>
      </c>
      <c r="K128" s="27">
        <v>1.1429500943457611</v>
      </c>
      <c r="L128" s="30">
        <v>7.5670000000000002</v>
      </c>
      <c r="M128">
        <f t="shared" si="4"/>
        <v>14.534174594350977</v>
      </c>
    </row>
    <row r="129" spans="1:13" ht="16" x14ac:dyDescent="0.2">
      <c r="A129" s="28">
        <v>15</v>
      </c>
      <c r="B129" s="28">
        <v>24</v>
      </c>
      <c r="C129" s="28">
        <v>24</v>
      </c>
      <c r="D129" s="28" t="s">
        <v>66</v>
      </c>
      <c r="E129" s="28" t="s">
        <v>65</v>
      </c>
      <c r="F129" s="28">
        <v>3.0200607902735581</v>
      </c>
      <c r="G129" s="28">
        <v>13.6</v>
      </c>
      <c r="H129" s="28">
        <v>0.6</v>
      </c>
      <c r="I129" s="30">
        <v>1.9000000000000001E-4</v>
      </c>
      <c r="J129" s="30">
        <f t="shared" si="5"/>
        <v>5.0000000000000004E-6</v>
      </c>
      <c r="K129" s="27">
        <v>1.0225779165853341</v>
      </c>
      <c r="L129" s="30">
        <v>13.462</v>
      </c>
      <c r="M129">
        <f t="shared" si="4"/>
        <v>13.753483577192657</v>
      </c>
    </row>
    <row r="130" spans="1:13" ht="16" x14ac:dyDescent="0.2">
      <c r="A130" s="28">
        <v>15</v>
      </c>
      <c r="B130" s="28">
        <v>24</v>
      </c>
      <c r="C130" s="28">
        <v>24</v>
      </c>
      <c r="D130" s="28" t="s">
        <v>66</v>
      </c>
      <c r="E130" s="28" t="s">
        <v>58</v>
      </c>
      <c r="F130" s="28">
        <v>4.6613981762917973</v>
      </c>
      <c r="G130" s="28">
        <v>13.6</v>
      </c>
      <c r="H130" s="28">
        <v>0.6</v>
      </c>
      <c r="I130" s="30">
        <v>1.9000000000000001E-4</v>
      </c>
      <c r="J130" s="30">
        <f t="shared" ref="J130:J161" si="6">0.000005</f>
        <v>5.0000000000000004E-6</v>
      </c>
      <c r="K130" s="27">
        <v>1.222981326045937</v>
      </c>
      <c r="L130" s="30">
        <v>5.3150000000000004</v>
      </c>
      <c r="M130">
        <f t="shared" si="4"/>
        <v>17.749650828622585</v>
      </c>
    </row>
    <row r="131" spans="1:13" ht="16" x14ac:dyDescent="0.2">
      <c r="A131" s="28">
        <v>15</v>
      </c>
      <c r="B131" s="28">
        <v>24</v>
      </c>
      <c r="C131" s="28">
        <v>24</v>
      </c>
      <c r="D131" s="28" t="s">
        <v>66</v>
      </c>
      <c r="E131" s="28" t="s">
        <v>59</v>
      </c>
      <c r="F131" s="28">
        <v>4.0705167173252255</v>
      </c>
      <c r="G131" s="28">
        <v>13.6</v>
      </c>
      <c r="H131" s="28">
        <v>0.6</v>
      </c>
      <c r="I131" s="30">
        <v>1.9000000000000001E-4</v>
      </c>
      <c r="J131" s="30">
        <f t="shared" si="6"/>
        <v>5.0000000000000004E-6</v>
      </c>
      <c r="K131" s="27">
        <v>1.2021601925954843</v>
      </c>
      <c r="L131" s="30">
        <v>6.69</v>
      </c>
      <c r="M131">
        <f t="shared" ref="M131:M193" si="7">(F131/(G131*H131*K131))*(I131/J131)</f>
        <v>15.768146184648348</v>
      </c>
    </row>
    <row r="132" spans="1:13" ht="16" x14ac:dyDescent="0.2">
      <c r="A132" s="28">
        <v>15</v>
      </c>
      <c r="B132" s="28">
        <v>24</v>
      </c>
      <c r="C132" s="28">
        <v>24</v>
      </c>
      <c r="D132" s="28" t="s">
        <v>66</v>
      </c>
      <c r="E132" s="28" t="s">
        <v>60</v>
      </c>
      <c r="F132" s="28">
        <v>2.8231003039513611</v>
      </c>
      <c r="G132" s="28">
        <v>13.6</v>
      </c>
      <c r="H132" s="28">
        <v>0.6</v>
      </c>
      <c r="I132" s="30">
        <v>1.9000000000000001E-4</v>
      </c>
      <c r="J132" s="30">
        <f t="shared" si="6"/>
        <v>5.0000000000000004E-6</v>
      </c>
      <c r="K132" s="27">
        <v>0.88854186999804818</v>
      </c>
      <c r="L132" s="30">
        <v>11.787000000000001</v>
      </c>
      <c r="M132">
        <f t="shared" si="7"/>
        <v>14.795915730088131</v>
      </c>
    </row>
    <row r="133" spans="1:13" ht="16" x14ac:dyDescent="0.2">
      <c r="A133" s="28">
        <v>15</v>
      </c>
      <c r="B133" s="28">
        <v>24</v>
      </c>
      <c r="C133" s="28">
        <v>24</v>
      </c>
      <c r="D133" s="28" t="s">
        <v>66</v>
      </c>
      <c r="E133" s="28" t="s">
        <v>61</v>
      </c>
      <c r="F133" s="28">
        <v>3.6765957446808453</v>
      </c>
      <c r="G133" s="28">
        <v>13.6</v>
      </c>
      <c r="H133" s="28">
        <v>0.6</v>
      </c>
      <c r="I133" s="30">
        <v>1.9000000000000001E-4</v>
      </c>
      <c r="J133" s="30">
        <f t="shared" si="6"/>
        <v>5.0000000000000004E-6</v>
      </c>
      <c r="K133" s="27">
        <v>1.165723209057193</v>
      </c>
      <c r="L133" s="30">
        <v>8.3689999999999998</v>
      </c>
      <c r="M133">
        <f t="shared" si="7"/>
        <v>14.687364564043948</v>
      </c>
    </row>
    <row r="134" spans="1:13" ht="16" x14ac:dyDescent="0.2">
      <c r="A134" s="28">
        <v>15</v>
      </c>
      <c r="B134" s="28">
        <v>24</v>
      </c>
      <c r="C134" s="28">
        <v>24</v>
      </c>
      <c r="D134" s="28" t="s">
        <v>66</v>
      </c>
      <c r="E134" s="28" t="s">
        <v>62</v>
      </c>
      <c r="F134" s="28">
        <v>3.6765957446808453</v>
      </c>
      <c r="G134" s="28">
        <v>13.6</v>
      </c>
      <c r="H134" s="28">
        <v>0.6</v>
      </c>
      <c r="I134" s="30">
        <v>1.9000000000000001E-4</v>
      </c>
      <c r="J134" s="30">
        <f t="shared" si="6"/>
        <v>5.0000000000000004E-6</v>
      </c>
      <c r="K134" s="27">
        <v>1.2112694384800573</v>
      </c>
      <c r="L134" s="30">
        <v>6.274</v>
      </c>
      <c r="M134">
        <f t="shared" si="7"/>
        <v>14.13508936019614</v>
      </c>
    </row>
    <row r="135" spans="1:13" ht="16" x14ac:dyDescent="0.2">
      <c r="A135" s="28">
        <v>15</v>
      </c>
      <c r="B135" s="28">
        <v>24</v>
      </c>
      <c r="C135" s="28">
        <v>24</v>
      </c>
      <c r="D135" s="28" t="s">
        <v>66</v>
      </c>
      <c r="E135" s="28" t="s">
        <v>63</v>
      </c>
      <c r="F135" s="28">
        <v>4.5300911854103383</v>
      </c>
      <c r="G135" s="28">
        <v>13.6</v>
      </c>
      <c r="H135" s="28">
        <v>0.6</v>
      </c>
      <c r="I135" s="30">
        <v>1.9000000000000001E-4</v>
      </c>
      <c r="J135" s="30">
        <f t="shared" si="6"/>
        <v>5.0000000000000004E-6</v>
      </c>
      <c r="K135" s="27">
        <v>1.2997592556444795</v>
      </c>
      <c r="L135" s="30">
        <v>4.4470000000000001</v>
      </c>
      <c r="M135">
        <f t="shared" si="7"/>
        <v>16.230707941967346</v>
      </c>
    </row>
    <row r="136" spans="1:13" ht="16" x14ac:dyDescent="0.2">
      <c r="A136" s="28">
        <v>15</v>
      </c>
      <c r="B136" s="28">
        <v>24</v>
      </c>
      <c r="C136" s="28">
        <v>24</v>
      </c>
      <c r="D136" s="28" t="s">
        <v>66</v>
      </c>
      <c r="E136" s="28" t="s">
        <v>64</v>
      </c>
      <c r="F136" s="28">
        <v>4.0048632218845013</v>
      </c>
      <c r="G136" s="28">
        <v>13.6</v>
      </c>
      <c r="H136" s="28">
        <v>0.6</v>
      </c>
      <c r="I136" s="30">
        <v>1.9000000000000001E-4</v>
      </c>
      <c r="J136" s="30">
        <f t="shared" si="6"/>
        <v>5.0000000000000004E-6</v>
      </c>
      <c r="K136" s="27">
        <v>1.1429500943457611</v>
      </c>
      <c r="L136" s="30">
        <v>7.5670000000000002</v>
      </c>
      <c r="M136">
        <f t="shared" si="7"/>
        <v>16.317508900406349</v>
      </c>
    </row>
    <row r="137" spans="1:13" ht="16" x14ac:dyDescent="0.2">
      <c r="A137" s="28">
        <v>15</v>
      </c>
      <c r="B137" s="28">
        <v>24</v>
      </c>
      <c r="C137" s="28">
        <v>24</v>
      </c>
      <c r="D137" s="28" t="s">
        <v>66</v>
      </c>
      <c r="E137" s="28" t="s">
        <v>65</v>
      </c>
      <c r="F137" s="28">
        <v>3.0857142857142774</v>
      </c>
      <c r="G137" s="28">
        <v>13.6</v>
      </c>
      <c r="H137" s="28">
        <v>0.6</v>
      </c>
      <c r="I137" s="30">
        <v>1.9000000000000001E-4</v>
      </c>
      <c r="J137" s="30">
        <f t="shared" si="6"/>
        <v>5.0000000000000004E-6</v>
      </c>
      <c r="K137" s="27">
        <v>1.0225779165853341</v>
      </c>
      <c r="L137" s="30">
        <v>13.462</v>
      </c>
      <c r="M137">
        <f t="shared" si="7"/>
        <v>14.052472350609841</v>
      </c>
    </row>
    <row r="138" spans="1:13" ht="16" x14ac:dyDescent="0.2">
      <c r="A138" s="28">
        <v>15</v>
      </c>
      <c r="B138" s="28">
        <v>24</v>
      </c>
      <c r="C138" s="28">
        <v>24</v>
      </c>
      <c r="D138" s="28" t="s">
        <v>66</v>
      </c>
      <c r="E138" s="28" t="s">
        <v>58</v>
      </c>
      <c r="F138" s="28">
        <v>4.4863221884498419</v>
      </c>
      <c r="G138" s="28">
        <v>13.6</v>
      </c>
      <c r="H138" s="28">
        <v>0.6</v>
      </c>
      <c r="I138" s="30">
        <v>1.9000000000000001E-4</v>
      </c>
      <c r="J138" s="30">
        <f t="shared" si="6"/>
        <v>5.0000000000000004E-6</v>
      </c>
      <c r="K138" s="27">
        <v>1.222981326045937</v>
      </c>
      <c r="L138" s="30">
        <v>5.3150000000000004</v>
      </c>
      <c r="M138">
        <f t="shared" si="7"/>
        <v>17.08299727637381</v>
      </c>
    </row>
    <row r="139" spans="1:13" ht="16" x14ac:dyDescent="0.2">
      <c r="A139" s="28">
        <v>15</v>
      </c>
      <c r="B139" s="28">
        <v>24</v>
      </c>
      <c r="C139" s="28">
        <v>24</v>
      </c>
      <c r="D139" s="28" t="s">
        <v>66</v>
      </c>
      <c r="E139" s="28" t="s">
        <v>59</v>
      </c>
      <c r="F139" s="28">
        <v>3.8297872340425494</v>
      </c>
      <c r="G139" s="28">
        <v>13.6</v>
      </c>
      <c r="H139" s="28">
        <v>0.6</v>
      </c>
      <c r="I139" s="30">
        <v>1.9000000000000001E-4</v>
      </c>
      <c r="J139" s="30">
        <f t="shared" si="6"/>
        <v>5.0000000000000004E-6</v>
      </c>
      <c r="K139" s="27">
        <v>1.2021601925954843</v>
      </c>
      <c r="L139" s="30">
        <v>6.69</v>
      </c>
      <c r="M139">
        <f t="shared" si="7"/>
        <v>14.835621410287418</v>
      </c>
    </row>
    <row r="140" spans="1:13" ht="16" x14ac:dyDescent="0.2">
      <c r="A140" s="28">
        <v>15</v>
      </c>
      <c r="B140" s="28">
        <v>24</v>
      </c>
      <c r="C140" s="28">
        <v>24</v>
      </c>
      <c r="D140" s="28" t="s">
        <v>66</v>
      </c>
      <c r="E140" s="28" t="s">
        <v>60</v>
      </c>
      <c r="F140" s="28">
        <v>2.4510638297872283</v>
      </c>
      <c r="G140" s="28">
        <v>13.6</v>
      </c>
      <c r="H140" s="28">
        <v>0.6</v>
      </c>
      <c r="I140" s="30">
        <v>1.9000000000000001E-4</v>
      </c>
      <c r="J140" s="30">
        <f t="shared" si="6"/>
        <v>5.0000000000000004E-6</v>
      </c>
      <c r="K140" s="27">
        <v>0.88854186999804818</v>
      </c>
      <c r="L140" s="30">
        <v>11.787000000000001</v>
      </c>
      <c r="M140">
        <f t="shared" si="7"/>
        <v>12.846066370309075</v>
      </c>
    </row>
    <row r="141" spans="1:13" ht="16" x14ac:dyDescent="0.2">
      <c r="A141" s="28">
        <v>15</v>
      </c>
      <c r="B141" s="28">
        <v>24</v>
      </c>
      <c r="C141" s="28">
        <v>24</v>
      </c>
      <c r="D141" s="28" t="s">
        <v>66</v>
      </c>
      <c r="E141" s="28" t="s">
        <v>61</v>
      </c>
      <c r="F141" s="28">
        <v>3.348328267477199</v>
      </c>
      <c r="G141" s="28">
        <v>13.6</v>
      </c>
      <c r="H141" s="28">
        <v>0.6</v>
      </c>
      <c r="I141" s="30">
        <v>1.9000000000000001E-4</v>
      </c>
      <c r="J141" s="30">
        <f t="shared" si="6"/>
        <v>5.0000000000000004E-6</v>
      </c>
      <c r="K141" s="27">
        <v>1.165723209057193</v>
      </c>
      <c r="L141" s="30">
        <v>8.3689999999999998</v>
      </c>
      <c r="M141">
        <f t="shared" si="7"/>
        <v>13.375992727968598</v>
      </c>
    </row>
    <row r="142" spans="1:13" ht="16" x14ac:dyDescent="0.2">
      <c r="A142" s="28">
        <v>15</v>
      </c>
      <c r="B142" s="28">
        <v>24</v>
      </c>
      <c r="C142" s="28">
        <v>24</v>
      </c>
      <c r="D142" s="28" t="s">
        <v>66</v>
      </c>
      <c r="E142" s="28" t="s">
        <v>62</v>
      </c>
      <c r="F142" s="28">
        <v>4.0048632218844942</v>
      </c>
      <c r="G142" s="28">
        <v>13.6</v>
      </c>
      <c r="H142" s="28">
        <v>0.6</v>
      </c>
      <c r="I142" s="30">
        <v>1.9000000000000001E-4</v>
      </c>
      <c r="J142" s="30">
        <f t="shared" si="6"/>
        <v>5.0000000000000004E-6</v>
      </c>
      <c r="K142" s="27">
        <v>1.2112694384800573</v>
      </c>
      <c r="L142" s="30">
        <v>6.274</v>
      </c>
      <c r="M142">
        <f t="shared" si="7"/>
        <v>15.397150910213661</v>
      </c>
    </row>
    <row r="143" spans="1:13" ht="16" x14ac:dyDescent="0.2">
      <c r="A143" s="28">
        <v>15</v>
      </c>
      <c r="B143" s="28">
        <v>24</v>
      </c>
      <c r="C143" s="28">
        <v>24</v>
      </c>
      <c r="D143" s="28" t="s">
        <v>66</v>
      </c>
      <c r="E143" s="28" t="s">
        <v>63</v>
      </c>
      <c r="F143" s="28">
        <v>3.9610942249240155</v>
      </c>
      <c r="G143" s="28">
        <v>13.6</v>
      </c>
      <c r="H143" s="28">
        <v>0.6</v>
      </c>
      <c r="I143" s="30">
        <v>1.9000000000000001E-4</v>
      </c>
      <c r="J143" s="30">
        <f t="shared" si="6"/>
        <v>5.0000000000000004E-6</v>
      </c>
      <c r="K143" s="27">
        <v>1.2997592556444795</v>
      </c>
      <c r="L143" s="30">
        <v>4.4470000000000001</v>
      </c>
      <c r="M143">
        <f t="shared" si="7"/>
        <v>14.192068297082558</v>
      </c>
    </row>
    <row r="144" spans="1:13" ht="16" x14ac:dyDescent="0.2">
      <c r="A144" s="28">
        <v>15</v>
      </c>
      <c r="B144" s="28">
        <v>24</v>
      </c>
      <c r="C144" s="28">
        <v>24</v>
      </c>
      <c r="D144" s="28" t="s">
        <v>66</v>
      </c>
      <c r="E144" s="28" t="s">
        <v>64</v>
      </c>
      <c r="F144" s="28">
        <v>3.9392097264437651</v>
      </c>
      <c r="G144" s="28">
        <v>13.6</v>
      </c>
      <c r="H144" s="28">
        <v>0.6</v>
      </c>
      <c r="I144" s="30">
        <v>1.9000000000000001E-4</v>
      </c>
      <c r="J144" s="30">
        <f t="shared" si="6"/>
        <v>5.0000000000000004E-6</v>
      </c>
      <c r="K144" s="27">
        <v>1.1429500943457611</v>
      </c>
      <c r="L144" s="30">
        <v>7.5670000000000002</v>
      </c>
      <c r="M144">
        <f t="shared" si="7"/>
        <v>16.050008754498023</v>
      </c>
    </row>
    <row r="145" spans="1:13" ht="16" x14ac:dyDescent="0.2">
      <c r="A145" s="28">
        <v>15</v>
      </c>
      <c r="B145" s="28">
        <v>24</v>
      </c>
      <c r="C145" s="28">
        <v>24</v>
      </c>
      <c r="D145" s="28" t="s">
        <v>66</v>
      </c>
      <c r="E145" s="28" t="s">
        <v>65</v>
      </c>
      <c r="F145" s="28">
        <v>2.9325227963525791</v>
      </c>
      <c r="G145" s="28">
        <v>13.6</v>
      </c>
      <c r="H145" s="28">
        <v>0.6</v>
      </c>
      <c r="I145" s="30">
        <v>1.9000000000000001E-4</v>
      </c>
      <c r="J145" s="30">
        <f t="shared" si="6"/>
        <v>5.0000000000000004E-6</v>
      </c>
      <c r="K145" s="27">
        <v>1.0225779165853341</v>
      </c>
      <c r="L145" s="30">
        <v>13.462</v>
      </c>
      <c r="M145">
        <f t="shared" si="7"/>
        <v>13.354831879302987</v>
      </c>
    </row>
    <row r="146" spans="1:13" ht="16" x14ac:dyDescent="0.2">
      <c r="A146" s="28">
        <v>30</v>
      </c>
      <c r="B146" s="28">
        <v>16</v>
      </c>
      <c r="C146" s="28">
        <v>24</v>
      </c>
      <c r="D146" s="28" t="s">
        <v>67</v>
      </c>
      <c r="E146" s="28" t="s">
        <v>58</v>
      </c>
      <c r="F146" s="28">
        <v>3.1951367781154949</v>
      </c>
      <c r="G146" s="28">
        <v>13.6</v>
      </c>
      <c r="H146" s="28">
        <v>0.6</v>
      </c>
      <c r="I146" s="30">
        <v>1.9000000000000001E-4</v>
      </c>
      <c r="J146" s="30">
        <f t="shared" si="6"/>
        <v>5.0000000000000004E-6</v>
      </c>
      <c r="K146" s="30">
        <v>1.1611685861149068</v>
      </c>
      <c r="L146" s="30">
        <v>9.3770000000000007</v>
      </c>
      <c r="M146">
        <f t="shared" si="7"/>
        <v>12.814085401054935</v>
      </c>
    </row>
    <row r="147" spans="1:13" ht="16" x14ac:dyDescent="0.2">
      <c r="A147" s="28">
        <v>30</v>
      </c>
      <c r="B147" s="28">
        <v>16</v>
      </c>
      <c r="C147" s="28">
        <v>24</v>
      </c>
      <c r="D147" s="28" t="s">
        <v>67</v>
      </c>
      <c r="E147" s="28" t="s">
        <v>59</v>
      </c>
      <c r="F147" s="28">
        <v>2.9106382978723353</v>
      </c>
      <c r="G147" s="28">
        <v>13.6</v>
      </c>
      <c r="H147" s="28">
        <v>0.6</v>
      </c>
      <c r="I147" s="30">
        <v>1.9000000000000001E-4</v>
      </c>
      <c r="J147" s="30">
        <f t="shared" si="6"/>
        <v>5.0000000000000004E-6</v>
      </c>
      <c r="K147" s="30">
        <v>0.96076517665430439</v>
      </c>
      <c r="L147" s="30">
        <v>6.8520000000000003</v>
      </c>
      <c r="M147">
        <f t="shared" si="7"/>
        <v>14.107966632406693</v>
      </c>
    </row>
    <row r="148" spans="1:13" ht="16" x14ac:dyDescent="0.2">
      <c r="A148" s="28">
        <v>30</v>
      </c>
      <c r="B148" s="28">
        <v>16</v>
      </c>
      <c r="C148" s="28">
        <v>24</v>
      </c>
      <c r="D148" s="28" t="s">
        <v>67</v>
      </c>
      <c r="E148" s="28" t="s">
        <v>60</v>
      </c>
      <c r="F148" s="28">
        <v>3.348328267477199</v>
      </c>
      <c r="G148" s="28">
        <v>13.6</v>
      </c>
      <c r="H148" s="28">
        <v>0.6</v>
      </c>
      <c r="I148" s="30">
        <v>1.9000000000000001E-4</v>
      </c>
      <c r="J148" s="30">
        <f t="shared" si="6"/>
        <v>5.0000000000000004E-6</v>
      </c>
      <c r="K148" s="30">
        <v>1.132539527620535</v>
      </c>
      <c r="L148" s="30">
        <v>9.4130000000000003</v>
      </c>
      <c r="M148">
        <f t="shared" si="7"/>
        <v>13.767912542473018</v>
      </c>
    </row>
    <row r="149" spans="1:13" ht="16" x14ac:dyDescent="0.2">
      <c r="A149" s="28">
        <v>30</v>
      </c>
      <c r="B149" s="28">
        <v>16</v>
      </c>
      <c r="C149" s="28">
        <v>24</v>
      </c>
      <c r="D149" s="28" t="s">
        <v>67</v>
      </c>
      <c r="E149" s="28" t="s">
        <v>61</v>
      </c>
      <c r="F149" s="28">
        <v>3.8297872340425485</v>
      </c>
      <c r="G149" s="28">
        <v>13.6</v>
      </c>
      <c r="H149" s="28">
        <v>0.6</v>
      </c>
      <c r="I149" s="30">
        <v>1.9000000000000001E-4</v>
      </c>
      <c r="J149" s="30">
        <f t="shared" si="6"/>
        <v>5.0000000000000004E-6</v>
      </c>
      <c r="K149" s="30">
        <v>1.0746307502114647</v>
      </c>
      <c r="L149" s="30">
        <v>7.3769999999999998</v>
      </c>
      <c r="M149">
        <f t="shared" si="7"/>
        <v>16.596206174404831</v>
      </c>
    </row>
    <row r="150" spans="1:13" ht="16" x14ac:dyDescent="0.2">
      <c r="A150" s="28">
        <v>30</v>
      </c>
      <c r="B150" s="28">
        <v>16</v>
      </c>
      <c r="C150" s="28">
        <v>24</v>
      </c>
      <c r="D150" s="28" t="s">
        <v>67</v>
      </c>
      <c r="E150" s="28" t="s">
        <v>62</v>
      </c>
      <c r="F150" s="28">
        <v>3.413981762917929</v>
      </c>
      <c r="G150" s="28">
        <v>13.6</v>
      </c>
      <c r="H150" s="28">
        <v>0.6</v>
      </c>
      <c r="I150" s="30">
        <v>1.9000000000000001E-4</v>
      </c>
      <c r="J150" s="30">
        <f t="shared" si="6"/>
        <v>5.0000000000000004E-6</v>
      </c>
      <c r="K150" s="30">
        <v>0.99525017893161583</v>
      </c>
      <c r="L150" s="30">
        <v>7.7549999999999999</v>
      </c>
      <c r="M150">
        <f t="shared" si="7"/>
        <v>15.97431964417564</v>
      </c>
    </row>
    <row r="151" spans="1:13" ht="16" x14ac:dyDescent="0.2">
      <c r="A151" s="28">
        <v>30</v>
      </c>
      <c r="B151" s="28">
        <v>16</v>
      </c>
      <c r="C151" s="28">
        <v>24</v>
      </c>
      <c r="D151" s="28" t="s">
        <v>67</v>
      </c>
      <c r="E151" s="28" t="s">
        <v>63</v>
      </c>
      <c r="F151" s="28">
        <v>2.9325227963525817</v>
      </c>
      <c r="G151" s="28">
        <v>13.6</v>
      </c>
      <c r="H151" s="28">
        <v>0.6</v>
      </c>
      <c r="I151" s="30">
        <v>1.9000000000000001E-4</v>
      </c>
      <c r="J151" s="30">
        <f t="shared" si="6"/>
        <v>5.0000000000000004E-6</v>
      </c>
      <c r="K151" s="30">
        <v>0.77727893812219429</v>
      </c>
      <c r="L151" s="30">
        <v>15.500999999999999</v>
      </c>
      <c r="M151">
        <f t="shared" si="7"/>
        <v>17.569440634114002</v>
      </c>
    </row>
    <row r="152" spans="1:13" ht="16" x14ac:dyDescent="0.2">
      <c r="A152" s="28">
        <v>30</v>
      </c>
      <c r="B152" s="28">
        <v>16</v>
      </c>
      <c r="C152" s="28">
        <v>24</v>
      </c>
      <c r="D152" s="28" t="s">
        <v>67</v>
      </c>
      <c r="E152" s="28" t="s">
        <v>64</v>
      </c>
      <c r="F152" s="28">
        <v>2.9106382978723389</v>
      </c>
      <c r="G152" s="28">
        <v>13.6</v>
      </c>
      <c r="H152" s="28">
        <v>0.6</v>
      </c>
      <c r="I152" s="30">
        <v>1.9000000000000001E-4</v>
      </c>
      <c r="J152" s="30">
        <f t="shared" si="6"/>
        <v>5.0000000000000004E-6</v>
      </c>
      <c r="K152" s="30">
        <v>1.1422994339254346</v>
      </c>
      <c r="L152" s="30">
        <v>10.212999999999999</v>
      </c>
      <c r="M152">
        <f t="shared" si="7"/>
        <v>11.865928189457591</v>
      </c>
    </row>
    <row r="153" spans="1:13" ht="16" x14ac:dyDescent="0.2">
      <c r="A153" s="28">
        <v>30</v>
      </c>
      <c r="B153" s="28">
        <v>16</v>
      </c>
      <c r="C153" s="28">
        <v>24</v>
      </c>
      <c r="D153" s="28" t="s">
        <v>67</v>
      </c>
      <c r="E153" s="28" t="s">
        <v>65</v>
      </c>
      <c r="F153" s="28">
        <v>3.1951367781155038</v>
      </c>
      <c r="G153" s="28">
        <v>13.6</v>
      </c>
      <c r="H153" s="28">
        <v>0.6</v>
      </c>
      <c r="I153" s="30">
        <v>1.9000000000000001E-4</v>
      </c>
      <c r="J153" s="30">
        <f t="shared" si="6"/>
        <v>5.0000000000000004E-6</v>
      </c>
      <c r="K153" s="30">
        <v>0.9959008393519424</v>
      </c>
      <c r="L153" s="30">
        <v>12.321999999999999</v>
      </c>
      <c r="M153">
        <f t="shared" si="7"/>
        <v>14.9405571715162</v>
      </c>
    </row>
    <row r="154" spans="1:13" ht="16" x14ac:dyDescent="0.2">
      <c r="A154" s="28">
        <v>30</v>
      </c>
      <c r="B154" s="28">
        <v>16</v>
      </c>
      <c r="C154" s="28">
        <v>24</v>
      </c>
      <c r="D154" s="28" t="s">
        <v>67</v>
      </c>
      <c r="E154" s="28" t="s">
        <v>58</v>
      </c>
      <c r="F154" s="28">
        <v>3.2826747720364771</v>
      </c>
      <c r="G154" s="28">
        <v>13.6</v>
      </c>
      <c r="H154" s="28">
        <v>0.6</v>
      </c>
      <c r="I154" s="30">
        <v>1.9000000000000001E-4</v>
      </c>
      <c r="J154" s="30">
        <f t="shared" si="6"/>
        <v>5.0000000000000004E-6</v>
      </c>
      <c r="K154" s="30">
        <v>1.1611685861149068</v>
      </c>
      <c r="L154" s="30">
        <v>9.3770000000000007</v>
      </c>
      <c r="M154">
        <f t="shared" si="7"/>
        <v>13.165156233960591</v>
      </c>
    </row>
    <row r="155" spans="1:13" ht="16" x14ac:dyDescent="0.2">
      <c r="A155" s="28">
        <v>30</v>
      </c>
      <c r="B155" s="28">
        <v>16</v>
      </c>
      <c r="C155" s="28">
        <v>24</v>
      </c>
      <c r="D155" s="28" t="s">
        <v>67</v>
      </c>
      <c r="E155" s="28" t="s">
        <v>59</v>
      </c>
      <c r="F155" s="28">
        <v>3.348328267477195</v>
      </c>
      <c r="G155" s="28">
        <v>13.6</v>
      </c>
      <c r="H155" s="28">
        <v>0.6</v>
      </c>
      <c r="I155" s="30">
        <v>1.9000000000000001E-4</v>
      </c>
      <c r="J155" s="30">
        <f t="shared" si="6"/>
        <v>5.0000000000000004E-6</v>
      </c>
      <c r="K155" s="30">
        <v>0.96076517665430439</v>
      </c>
      <c r="L155" s="30">
        <v>6.8520000000000003</v>
      </c>
      <c r="M155">
        <f t="shared" si="7"/>
        <v>16.229465374121972</v>
      </c>
    </row>
    <row r="156" spans="1:13" ht="16" x14ac:dyDescent="0.2">
      <c r="A156" s="28">
        <v>30</v>
      </c>
      <c r="B156" s="28">
        <v>16</v>
      </c>
      <c r="C156" s="28">
        <v>24</v>
      </c>
      <c r="D156" s="28" t="s">
        <v>67</v>
      </c>
      <c r="E156" s="28" t="s">
        <v>60</v>
      </c>
      <c r="F156" s="28">
        <v>3.4796352583586545</v>
      </c>
      <c r="G156" s="28">
        <v>13.6</v>
      </c>
      <c r="H156" s="28">
        <v>0.6</v>
      </c>
      <c r="I156" s="30">
        <v>1.9000000000000001E-4</v>
      </c>
      <c r="J156" s="30">
        <f t="shared" si="6"/>
        <v>5.0000000000000004E-6</v>
      </c>
      <c r="K156" s="30">
        <v>1.132539527620535</v>
      </c>
      <c r="L156" s="30">
        <v>9.4130000000000003</v>
      </c>
      <c r="M156">
        <f t="shared" si="7"/>
        <v>14.307830681393515</v>
      </c>
    </row>
    <row r="157" spans="1:13" ht="16" x14ac:dyDescent="0.2">
      <c r="A157" s="28">
        <v>30</v>
      </c>
      <c r="B157" s="28">
        <v>16</v>
      </c>
      <c r="C157" s="28">
        <v>24</v>
      </c>
      <c r="D157" s="28" t="s">
        <v>67</v>
      </c>
      <c r="E157" s="28" t="s">
        <v>61</v>
      </c>
      <c r="F157" s="28">
        <v>4.2018237082066854</v>
      </c>
      <c r="G157" s="28">
        <v>13.6</v>
      </c>
      <c r="H157" s="28">
        <v>0.6</v>
      </c>
      <c r="I157" s="30">
        <v>1.9000000000000001E-4</v>
      </c>
      <c r="J157" s="30">
        <f t="shared" si="6"/>
        <v>5.0000000000000004E-6</v>
      </c>
      <c r="K157" s="30">
        <v>1.0746307502114647</v>
      </c>
      <c r="L157" s="30">
        <v>7.3769999999999998</v>
      </c>
      <c r="M157">
        <f t="shared" si="7"/>
        <v>18.208409059918459</v>
      </c>
    </row>
    <row r="158" spans="1:13" ht="16" x14ac:dyDescent="0.2">
      <c r="A158" s="28">
        <v>30</v>
      </c>
      <c r="B158" s="28">
        <v>16</v>
      </c>
      <c r="C158" s="28">
        <v>24</v>
      </c>
      <c r="D158" s="28" t="s">
        <v>67</v>
      </c>
      <c r="E158" s="28" t="s">
        <v>62</v>
      </c>
      <c r="F158" s="28">
        <v>3.6765957446808435</v>
      </c>
      <c r="G158" s="28">
        <v>13.6</v>
      </c>
      <c r="H158" s="28">
        <v>0.6</v>
      </c>
      <c r="I158" s="30">
        <v>1.9000000000000001E-4</v>
      </c>
      <c r="J158" s="30">
        <f t="shared" si="6"/>
        <v>5.0000000000000004E-6</v>
      </c>
      <c r="K158" s="30">
        <v>0.99525017893161583</v>
      </c>
      <c r="L158" s="30">
        <v>7.7549999999999999</v>
      </c>
      <c r="M158">
        <f t="shared" si="7"/>
        <v>17.203113462958367</v>
      </c>
    </row>
    <row r="159" spans="1:13" ht="16" x14ac:dyDescent="0.2">
      <c r="A159" s="28">
        <v>30</v>
      </c>
      <c r="B159" s="28">
        <v>16</v>
      </c>
      <c r="C159" s="28">
        <v>24</v>
      </c>
      <c r="D159" s="28" t="s">
        <v>67</v>
      </c>
      <c r="E159" s="28" t="s">
        <v>63</v>
      </c>
      <c r="F159" s="28">
        <v>2.9544072948328206</v>
      </c>
      <c r="G159" s="28">
        <v>13.6</v>
      </c>
      <c r="H159" s="28">
        <v>0.6</v>
      </c>
      <c r="I159" s="30">
        <v>1.9000000000000001E-4</v>
      </c>
      <c r="J159" s="30">
        <f t="shared" si="6"/>
        <v>5.0000000000000004E-6</v>
      </c>
      <c r="K159" s="30">
        <v>0.77727893812219429</v>
      </c>
      <c r="L159" s="30">
        <v>15.500999999999999</v>
      </c>
      <c r="M159">
        <f t="shared" si="7"/>
        <v>17.700555862726766</v>
      </c>
    </row>
    <row r="160" spans="1:13" ht="16" x14ac:dyDescent="0.2">
      <c r="A160" s="28">
        <v>30</v>
      </c>
      <c r="B160" s="28">
        <v>16</v>
      </c>
      <c r="C160" s="28">
        <v>24</v>
      </c>
      <c r="D160" s="28" t="s">
        <v>67</v>
      </c>
      <c r="E160" s="28" t="s">
        <v>64</v>
      </c>
      <c r="F160" s="28">
        <v>3.0857142857142774</v>
      </c>
      <c r="G160" s="28">
        <v>13.6</v>
      </c>
      <c r="H160" s="28">
        <v>0.6</v>
      </c>
      <c r="I160" s="30">
        <v>1.9000000000000001E-4</v>
      </c>
      <c r="J160" s="30">
        <f t="shared" si="6"/>
        <v>5.0000000000000004E-6</v>
      </c>
      <c r="K160" s="30">
        <v>1.1422994339254346</v>
      </c>
      <c r="L160" s="30">
        <v>10.212999999999999</v>
      </c>
      <c r="M160">
        <f t="shared" si="7"/>
        <v>12.579668230928698</v>
      </c>
    </row>
    <row r="161" spans="1:13" ht="16" x14ac:dyDescent="0.2">
      <c r="A161" s="28">
        <v>30</v>
      </c>
      <c r="B161" s="28">
        <v>16</v>
      </c>
      <c r="C161" s="28">
        <v>24</v>
      </c>
      <c r="D161" s="28" t="s">
        <v>67</v>
      </c>
      <c r="E161" s="28" t="s">
        <v>65</v>
      </c>
      <c r="F161" s="28">
        <v>3.3483282674771973</v>
      </c>
      <c r="G161" s="28">
        <v>13.6</v>
      </c>
      <c r="H161" s="28">
        <v>0.6</v>
      </c>
      <c r="I161" s="30">
        <v>1.9000000000000001E-4</v>
      </c>
      <c r="J161" s="30">
        <f t="shared" si="6"/>
        <v>5.0000000000000004E-6</v>
      </c>
      <c r="K161" s="30">
        <v>0.9959008393519424</v>
      </c>
      <c r="L161" s="30">
        <v>12.321999999999999</v>
      </c>
      <c r="M161">
        <f t="shared" si="7"/>
        <v>15.656885255082006</v>
      </c>
    </row>
    <row r="162" spans="1:13" ht="16" x14ac:dyDescent="0.2">
      <c r="A162" s="28">
        <v>30</v>
      </c>
      <c r="B162" s="28">
        <v>16</v>
      </c>
      <c r="C162" s="28">
        <v>24</v>
      </c>
      <c r="D162" s="28" t="s">
        <v>67</v>
      </c>
      <c r="E162" s="28" t="s">
        <v>58</v>
      </c>
      <c r="F162" s="28">
        <v>3.6765957446808439</v>
      </c>
      <c r="G162" s="28">
        <v>13.6</v>
      </c>
      <c r="H162" s="28">
        <v>0.6</v>
      </c>
      <c r="I162" s="30">
        <v>1.9000000000000001E-4</v>
      </c>
      <c r="J162" s="30">
        <f t="shared" ref="J162:J193" si="8">0.000005</f>
        <v>5.0000000000000004E-6</v>
      </c>
      <c r="K162" s="30">
        <v>1.1611685861149068</v>
      </c>
      <c r="L162" s="30">
        <v>9.3770000000000007</v>
      </c>
      <c r="M162">
        <f t="shared" si="7"/>
        <v>14.744974982035819</v>
      </c>
    </row>
    <row r="163" spans="1:13" ht="16" x14ac:dyDescent="0.2">
      <c r="A163" s="28">
        <v>30</v>
      </c>
      <c r="B163" s="28">
        <v>16</v>
      </c>
      <c r="C163" s="28">
        <v>24</v>
      </c>
      <c r="D163" s="28" t="s">
        <v>67</v>
      </c>
      <c r="E163" s="28" t="s">
        <v>59</v>
      </c>
      <c r="F163" s="28">
        <v>3.1075987841945225</v>
      </c>
      <c r="G163" s="28">
        <v>13.6</v>
      </c>
      <c r="H163" s="28">
        <v>0.6</v>
      </c>
      <c r="I163" s="30">
        <v>1.9000000000000001E-4</v>
      </c>
      <c r="J163" s="30">
        <f t="shared" si="8"/>
        <v>5.0000000000000004E-6</v>
      </c>
      <c r="K163" s="30">
        <v>0.96076517665430439</v>
      </c>
      <c r="L163" s="30">
        <v>6.8520000000000003</v>
      </c>
      <c r="M163">
        <f t="shared" si="7"/>
        <v>15.062641066178569</v>
      </c>
    </row>
    <row r="164" spans="1:13" ht="16" x14ac:dyDescent="0.2">
      <c r="A164" s="28">
        <v>30</v>
      </c>
      <c r="B164" s="28">
        <v>16</v>
      </c>
      <c r="C164" s="28">
        <v>24</v>
      </c>
      <c r="D164" s="28" t="s">
        <v>67</v>
      </c>
      <c r="E164" s="28" t="s">
        <v>60</v>
      </c>
      <c r="F164" s="28">
        <v>3.3483282674771968</v>
      </c>
      <c r="G164" s="28">
        <v>13.6</v>
      </c>
      <c r="H164" s="28">
        <v>0.6</v>
      </c>
      <c r="I164" s="30">
        <v>1.9000000000000001E-4</v>
      </c>
      <c r="J164" s="30">
        <f t="shared" si="8"/>
        <v>5.0000000000000004E-6</v>
      </c>
      <c r="K164" s="30">
        <v>1.132539527620535</v>
      </c>
      <c r="L164" s="30">
        <v>9.4130000000000003</v>
      </c>
      <c r="M164">
        <f t="shared" si="7"/>
        <v>13.767912542473008</v>
      </c>
    </row>
    <row r="165" spans="1:13" ht="16" x14ac:dyDescent="0.2">
      <c r="A165" s="28">
        <v>30</v>
      </c>
      <c r="B165" s="28">
        <v>16</v>
      </c>
      <c r="C165" s="28">
        <v>24</v>
      </c>
      <c r="D165" s="28" t="s">
        <v>67</v>
      </c>
      <c r="E165" s="28" t="s">
        <v>61</v>
      </c>
      <c r="F165" s="28">
        <v>4.0486322188449808</v>
      </c>
      <c r="G165" s="28">
        <v>13.6</v>
      </c>
      <c r="H165" s="28">
        <v>0.6</v>
      </c>
      <c r="I165" s="30">
        <v>1.9000000000000001E-4</v>
      </c>
      <c r="J165" s="30">
        <f t="shared" si="8"/>
        <v>5.0000000000000004E-6</v>
      </c>
      <c r="K165" s="30">
        <v>1.0746307502114647</v>
      </c>
      <c r="L165" s="30">
        <v>7.3769999999999998</v>
      </c>
      <c r="M165">
        <f t="shared" si="7"/>
        <v>17.544560812942255</v>
      </c>
    </row>
    <row r="166" spans="1:13" ht="16" x14ac:dyDescent="0.2">
      <c r="A166" s="28">
        <v>30</v>
      </c>
      <c r="B166" s="28">
        <v>16</v>
      </c>
      <c r="C166" s="28">
        <v>24</v>
      </c>
      <c r="D166" s="28" t="s">
        <v>67</v>
      </c>
      <c r="E166" s="28" t="s">
        <v>62</v>
      </c>
      <c r="F166" s="28">
        <v>3.6765957446808439</v>
      </c>
      <c r="G166" s="28">
        <v>13.6</v>
      </c>
      <c r="H166" s="28">
        <v>0.6</v>
      </c>
      <c r="I166" s="30">
        <v>1.9000000000000001E-4</v>
      </c>
      <c r="J166" s="30">
        <f t="shared" si="8"/>
        <v>5.0000000000000004E-6</v>
      </c>
      <c r="K166" s="30">
        <v>0.99525017893161583</v>
      </c>
      <c r="L166" s="30">
        <v>7.7549999999999999</v>
      </c>
      <c r="M166">
        <f t="shared" si="7"/>
        <v>17.203113462958367</v>
      </c>
    </row>
    <row r="167" spans="1:13" ht="16" x14ac:dyDescent="0.2">
      <c r="A167" s="28">
        <v>30</v>
      </c>
      <c r="B167" s="28">
        <v>16</v>
      </c>
      <c r="C167" s="28">
        <v>24</v>
      </c>
      <c r="D167" s="28" t="s">
        <v>67</v>
      </c>
      <c r="E167" s="28" t="s">
        <v>63</v>
      </c>
      <c r="F167" s="28">
        <v>2.3197568389057728</v>
      </c>
      <c r="G167" s="28">
        <v>13.6</v>
      </c>
      <c r="H167" s="28">
        <v>0.6</v>
      </c>
      <c r="I167" s="30">
        <v>1.9000000000000001E-4</v>
      </c>
      <c r="J167" s="30">
        <f t="shared" si="8"/>
        <v>5.0000000000000004E-6</v>
      </c>
      <c r="K167" s="30">
        <v>0.77727893812219429</v>
      </c>
      <c r="L167" s="30">
        <v>15.500999999999999</v>
      </c>
      <c r="M167">
        <f t="shared" si="7"/>
        <v>13.898214232955846</v>
      </c>
    </row>
    <row r="168" spans="1:13" ht="16" x14ac:dyDescent="0.2">
      <c r="A168" s="28">
        <v>30</v>
      </c>
      <c r="B168" s="28">
        <v>16</v>
      </c>
      <c r="C168" s="28">
        <v>24</v>
      </c>
      <c r="D168" s="28" t="s">
        <v>67</v>
      </c>
      <c r="E168" s="28" t="s">
        <v>64</v>
      </c>
      <c r="F168" s="28">
        <v>2.9981762917933064</v>
      </c>
      <c r="G168" s="28">
        <v>13.6</v>
      </c>
      <c r="H168" s="28">
        <v>0.6</v>
      </c>
      <c r="I168" s="30">
        <v>1.9000000000000001E-4</v>
      </c>
      <c r="J168" s="30">
        <f t="shared" si="8"/>
        <v>5.0000000000000004E-6</v>
      </c>
      <c r="K168" s="30">
        <v>1.1422994339254346</v>
      </c>
      <c r="L168" s="30">
        <v>10.212999999999999</v>
      </c>
      <c r="M168">
        <f t="shared" si="7"/>
        <v>12.222798210193137</v>
      </c>
    </row>
    <row r="169" spans="1:13" ht="16" x14ac:dyDescent="0.2">
      <c r="A169" s="28">
        <v>30</v>
      </c>
      <c r="B169" s="28">
        <v>16</v>
      </c>
      <c r="C169" s="28">
        <v>24</v>
      </c>
      <c r="D169" s="28" t="s">
        <v>67</v>
      </c>
      <c r="E169" s="28" t="s">
        <v>65</v>
      </c>
      <c r="F169" s="28">
        <v>3.6765957446808466</v>
      </c>
      <c r="G169" s="28">
        <v>13.6</v>
      </c>
      <c r="H169" s="28">
        <v>0.6</v>
      </c>
      <c r="I169" s="30">
        <v>1.9000000000000001E-4</v>
      </c>
      <c r="J169" s="30">
        <f t="shared" si="8"/>
        <v>5.0000000000000004E-6</v>
      </c>
      <c r="K169" s="30">
        <v>0.9959008393519424</v>
      </c>
      <c r="L169" s="30">
        <v>12.321999999999999</v>
      </c>
      <c r="M169">
        <f t="shared" si="7"/>
        <v>17.191874005580253</v>
      </c>
    </row>
    <row r="170" spans="1:13" ht="16" x14ac:dyDescent="0.2">
      <c r="A170" s="28">
        <v>15</v>
      </c>
      <c r="B170" s="28">
        <v>16</v>
      </c>
      <c r="C170" s="28">
        <v>24</v>
      </c>
      <c r="D170" s="28" t="s">
        <v>68</v>
      </c>
      <c r="E170" s="28" t="s">
        <v>58</v>
      </c>
      <c r="F170" s="28">
        <v>3.8954407294832767</v>
      </c>
      <c r="G170" s="28">
        <v>13.6</v>
      </c>
      <c r="H170" s="28">
        <v>0.6</v>
      </c>
      <c r="I170" s="30">
        <v>1.9000000000000001E-4</v>
      </c>
      <c r="J170" s="30">
        <f t="shared" si="8"/>
        <v>5.0000000000000004E-6</v>
      </c>
      <c r="K170" s="30">
        <v>1.1696271715791529</v>
      </c>
      <c r="L170" s="30">
        <v>7.3650000000000002</v>
      </c>
      <c r="M170">
        <f t="shared" si="7"/>
        <v>15.509671158182874</v>
      </c>
    </row>
    <row r="171" spans="1:13" ht="16" x14ac:dyDescent="0.2">
      <c r="A171" s="28">
        <v>15</v>
      </c>
      <c r="B171" s="28">
        <v>16</v>
      </c>
      <c r="C171" s="28">
        <v>24</v>
      </c>
      <c r="D171" s="28" t="s">
        <v>68</v>
      </c>
      <c r="E171" s="28" t="s">
        <v>59</v>
      </c>
      <c r="F171" s="28">
        <v>3.1951367781154958</v>
      </c>
      <c r="G171" s="28">
        <v>13.6</v>
      </c>
      <c r="H171" s="28">
        <v>0.6</v>
      </c>
      <c r="I171" s="30">
        <v>1.9000000000000001E-4</v>
      </c>
      <c r="J171" s="30">
        <f t="shared" si="8"/>
        <v>5.0000000000000004E-6</v>
      </c>
      <c r="K171" s="30">
        <v>1.012167349860108</v>
      </c>
      <c r="L171" s="30">
        <v>9.9909999999999997</v>
      </c>
      <c r="M171">
        <f t="shared" si="7"/>
        <v>14.700447934380721</v>
      </c>
    </row>
    <row r="172" spans="1:13" ht="16" x14ac:dyDescent="0.2">
      <c r="A172" s="28">
        <v>15</v>
      </c>
      <c r="B172" s="28">
        <v>16</v>
      </c>
      <c r="C172" s="28">
        <v>24</v>
      </c>
      <c r="D172" s="28" t="s">
        <v>68</v>
      </c>
      <c r="E172" s="28" t="s">
        <v>60</v>
      </c>
      <c r="F172" s="28">
        <v>1.3568389057750772</v>
      </c>
      <c r="G172" s="28">
        <v>13.6</v>
      </c>
      <c r="H172" s="28">
        <v>0.6</v>
      </c>
      <c r="I172" s="30">
        <v>1.9000000000000001E-4</v>
      </c>
      <c r="J172" s="30">
        <f t="shared" si="8"/>
        <v>5.0000000000000004E-6</v>
      </c>
      <c r="K172" s="30">
        <v>0.67642657297156628</v>
      </c>
      <c r="L172" s="30">
        <v>22.236999999999998</v>
      </c>
      <c r="M172">
        <f t="shared" si="7"/>
        <v>9.3411654773490831</v>
      </c>
    </row>
    <row r="173" spans="1:13" ht="16" x14ac:dyDescent="0.2">
      <c r="A173" s="28">
        <v>15</v>
      </c>
      <c r="B173" s="28">
        <v>16</v>
      </c>
      <c r="C173" s="28">
        <v>24</v>
      </c>
      <c r="D173" s="28" t="s">
        <v>68</v>
      </c>
      <c r="E173" s="28" t="s">
        <v>61</v>
      </c>
      <c r="F173" s="28">
        <v>3.6765957446808466</v>
      </c>
      <c r="G173" s="28">
        <v>13.6</v>
      </c>
      <c r="H173" s="28">
        <v>0.6</v>
      </c>
      <c r="I173" s="30">
        <v>1.9000000000000001E-4</v>
      </c>
      <c r="J173" s="30">
        <f t="shared" si="8"/>
        <v>5.0000000000000004E-6</v>
      </c>
      <c r="K173" s="30">
        <v>1.2665755742078211</v>
      </c>
      <c r="L173" s="30">
        <v>7.1989999999999998</v>
      </c>
      <c r="M173">
        <f t="shared" si="7"/>
        <v>13.517868258985484</v>
      </c>
    </row>
    <row r="174" spans="1:13" ht="16" x14ac:dyDescent="0.2">
      <c r="A174" s="28">
        <v>15</v>
      </c>
      <c r="B174" s="28">
        <v>16</v>
      </c>
      <c r="C174" s="28">
        <v>24</v>
      </c>
      <c r="D174" s="28" t="s">
        <v>68</v>
      </c>
      <c r="E174" s="28" t="s">
        <v>62</v>
      </c>
      <c r="F174" s="28">
        <v>1.8382978723404269</v>
      </c>
      <c r="G174" s="28">
        <v>13.6</v>
      </c>
      <c r="H174" s="28">
        <v>0.6</v>
      </c>
      <c r="I174" s="30">
        <v>1.9000000000000001E-4</v>
      </c>
      <c r="J174" s="30">
        <f t="shared" si="8"/>
        <v>5.0000000000000004E-6</v>
      </c>
      <c r="K174" s="30">
        <v>0.78118290064415397</v>
      </c>
      <c r="L174" s="30">
        <v>15.967000000000001</v>
      </c>
      <c r="M174">
        <f t="shared" si="7"/>
        <v>10.95863832789488</v>
      </c>
    </row>
    <row r="175" spans="1:13" ht="16" x14ac:dyDescent="0.2">
      <c r="A175" s="28">
        <v>15</v>
      </c>
      <c r="B175" s="28">
        <v>16</v>
      </c>
      <c r="C175" s="28">
        <v>24</v>
      </c>
      <c r="D175" s="28" t="s">
        <v>68</v>
      </c>
      <c r="E175" s="28" t="s">
        <v>63</v>
      </c>
      <c r="F175" s="28">
        <v>1.9914893617021292</v>
      </c>
      <c r="G175" s="28">
        <v>13.6</v>
      </c>
      <c r="H175" s="28">
        <v>0.6</v>
      </c>
      <c r="I175" s="30">
        <v>1.9000000000000001E-4</v>
      </c>
      <c r="J175" s="30">
        <f t="shared" si="8"/>
        <v>5.0000000000000004E-6</v>
      </c>
      <c r="K175" s="30">
        <v>0.85665950940204327</v>
      </c>
      <c r="L175" s="30">
        <v>17.783000000000001</v>
      </c>
      <c r="M175">
        <f t="shared" si="7"/>
        <v>10.825879493526113</v>
      </c>
    </row>
    <row r="176" spans="1:13" ht="16" x14ac:dyDescent="0.2">
      <c r="A176" s="28">
        <v>15</v>
      </c>
      <c r="B176" s="28">
        <v>16</v>
      </c>
      <c r="C176" s="28">
        <v>24</v>
      </c>
      <c r="D176" s="28" t="s">
        <v>68</v>
      </c>
      <c r="E176" s="28" t="s">
        <v>64</v>
      </c>
      <c r="F176" s="28">
        <v>3.085714285714281</v>
      </c>
      <c r="G176" s="28">
        <v>13.6</v>
      </c>
      <c r="H176" s="28">
        <v>0.6</v>
      </c>
      <c r="I176" s="30">
        <v>1.9000000000000001E-4</v>
      </c>
      <c r="J176" s="30">
        <f t="shared" si="8"/>
        <v>5.0000000000000004E-6</v>
      </c>
      <c r="K176" s="30">
        <v>1.094150562821264</v>
      </c>
      <c r="L176" s="30">
        <v>10.036</v>
      </c>
      <c r="M176">
        <f t="shared" si="7"/>
        <v>13.133245448512398</v>
      </c>
    </row>
    <row r="177" spans="1:13" ht="16" x14ac:dyDescent="0.2">
      <c r="A177" s="28">
        <v>15</v>
      </c>
      <c r="B177" s="28">
        <v>16</v>
      </c>
      <c r="C177" s="28">
        <v>24</v>
      </c>
      <c r="D177" s="28" t="s">
        <v>68</v>
      </c>
      <c r="E177" s="28" t="s">
        <v>65</v>
      </c>
      <c r="F177" s="28">
        <v>2.7355623100303972</v>
      </c>
      <c r="G177" s="28">
        <v>13.6</v>
      </c>
      <c r="H177" s="28">
        <v>0.6</v>
      </c>
      <c r="I177" s="30">
        <v>1.9000000000000001E-4</v>
      </c>
      <c r="J177" s="30">
        <f t="shared" si="8"/>
        <v>5.0000000000000004E-6</v>
      </c>
      <c r="K177" s="30">
        <v>1.0050100852365151</v>
      </c>
      <c r="L177" s="30">
        <v>16.952000000000002</v>
      </c>
      <c r="M177">
        <f t="shared" si="7"/>
        <v>12.675632210672703</v>
      </c>
    </row>
    <row r="178" spans="1:13" ht="16" x14ac:dyDescent="0.2">
      <c r="A178" s="28">
        <v>15</v>
      </c>
      <c r="B178" s="28">
        <v>16</v>
      </c>
      <c r="C178" s="28">
        <v>24</v>
      </c>
      <c r="D178" s="28" t="s">
        <v>68</v>
      </c>
      <c r="E178" s="28" t="s">
        <v>58</v>
      </c>
      <c r="F178" s="28">
        <v>4.2674772036474193</v>
      </c>
      <c r="G178" s="28">
        <v>13.6</v>
      </c>
      <c r="H178" s="28">
        <v>0.6</v>
      </c>
      <c r="I178" s="30">
        <v>1.9000000000000001E-4</v>
      </c>
      <c r="J178" s="30">
        <f t="shared" si="8"/>
        <v>5.0000000000000004E-6</v>
      </c>
      <c r="K178" s="30">
        <v>1.1696271715791529</v>
      </c>
      <c r="L178" s="30">
        <v>7.3650000000000002</v>
      </c>
      <c r="M178">
        <f t="shared" si="7"/>
        <v>16.99093188677341</v>
      </c>
    </row>
    <row r="179" spans="1:13" ht="16" x14ac:dyDescent="0.2">
      <c r="A179" s="28">
        <v>15</v>
      </c>
      <c r="B179" s="28">
        <v>16</v>
      </c>
      <c r="C179" s="28">
        <v>24</v>
      </c>
      <c r="D179" s="28" t="s">
        <v>68</v>
      </c>
      <c r="E179" s="28" t="s">
        <v>59</v>
      </c>
      <c r="F179" s="28">
        <v>3.4796352583586603</v>
      </c>
      <c r="G179" s="28">
        <v>13.6</v>
      </c>
      <c r="H179" s="28">
        <v>0.6</v>
      </c>
      <c r="I179" s="30">
        <v>1.9000000000000001E-4</v>
      </c>
      <c r="J179" s="30">
        <f t="shared" si="8"/>
        <v>5.0000000000000004E-6</v>
      </c>
      <c r="K179" s="30">
        <v>1.012167349860108</v>
      </c>
      <c r="L179" s="30">
        <v>9.9909999999999997</v>
      </c>
      <c r="M179">
        <f t="shared" si="7"/>
        <v>16.009391928537926</v>
      </c>
    </row>
    <row r="180" spans="1:13" ht="16" x14ac:dyDescent="0.2">
      <c r="A180" s="28">
        <v>15</v>
      </c>
      <c r="B180" s="28">
        <v>16</v>
      </c>
      <c r="C180" s="28">
        <v>24</v>
      </c>
      <c r="D180" s="28" t="s">
        <v>68</v>
      </c>
      <c r="E180" s="28" t="s">
        <v>60</v>
      </c>
      <c r="F180" s="28">
        <v>1.4443768996960498</v>
      </c>
      <c r="G180" s="28">
        <v>13.6</v>
      </c>
      <c r="H180" s="28">
        <v>0.6</v>
      </c>
      <c r="I180" s="30">
        <v>1.9000000000000001E-4</v>
      </c>
      <c r="J180" s="30">
        <f t="shared" si="8"/>
        <v>5.0000000000000004E-6</v>
      </c>
      <c r="K180" s="30">
        <v>0.67642657297156628</v>
      </c>
      <c r="L180" s="30">
        <v>22.236999999999998</v>
      </c>
      <c r="M180">
        <f t="shared" si="7"/>
        <v>9.9438213145974093</v>
      </c>
    </row>
    <row r="181" spans="1:13" ht="16" x14ac:dyDescent="0.2">
      <c r="A181" s="28">
        <v>15</v>
      </c>
      <c r="B181" s="28">
        <v>16</v>
      </c>
      <c r="C181" s="28">
        <v>24</v>
      </c>
      <c r="D181" s="28" t="s">
        <v>68</v>
      </c>
      <c r="E181" s="28" t="s">
        <v>61</v>
      </c>
      <c r="F181" s="28">
        <v>4.0048632218845022</v>
      </c>
      <c r="G181" s="28">
        <v>13.6</v>
      </c>
      <c r="H181" s="28">
        <v>0.6</v>
      </c>
      <c r="I181" s="30">
        <v>1.9000000000000001E-4</v>
      </c>
      <c r="J181" s="30">
        <f t="shared" si="8"/>
        <v>5.0000000000000004E-6</v>
      </c>
      <c r="K181" s="30">
        <v>1.2665755742078211</v>
      </c>
      <c r="L181" s="30">
        <v>7.1989999999999998</v>
      </c>
      <c r="M181">
        <f t="shared" si="7"/>
        <v>14.724820782109219</v>
      </c>
    </row>
    <row r="182" spans="1:13" ht="16" x14ac:dyDescent="0.2">
      <c r="A182" s="28">
        <v>15</v>
      </c>
      <c r="B182" s="28">
        <v>16</v>
      </c>
      <c r="C182" s="28">
        <v>24</v>
      </c>
      <c r="D182" s="28" t="s">
        <v>68</v>
      </c>
      <c r="E182" s="28" t="s">
        <v>62</v>
      </c>
      <c r="F182" s="28">
        <v>2.0352583586626158</v>
      </c>
      <c r="G182" s="28">
        <v>13.6</v>
      </c>
      <c r="H182" s="28">
        <v>0.6</v>
      </c>
      <c r="I182" s="30">
        <v>1.9000000000000001E-4</v>
      </c>
      <c r="J182" s="30">
        <f t="shared" si="8"/>
        <v>5.0000000000000004E-6</v>
      </c>
      <c r="K182" s="30">
        <v>0.78118290064415397</v>
      </c>
      <c r="L182" s="30">
        <v>15.967000000000001</v>
      </c>
      <c r="M182">
        <f t="shared" si="7"/>
        <v>12.132778148740764</v>
      </c>
    </row>
    <row r="183" spans="1:13" ht="16" x14ac:dyDescent="0.2">
      <c r="A183" s="28">
        <v>15</v>
      </c>
      <c r="B183" s="28">
        <v>16</v>
      </c>
      <c r="C183" s="28">
        <v>24</v>
      </c>
      <c r="D183" s="28" t="s">
        <v>68</v>
      </c>
      <c r="E183" s="28" t="s">
        <v>63</v>
      </c>
      <c r="F183" s="28">
        <v>2.1665653495440744</v>
      </c>
      <c r="G183" s="28">
        <v>13.6</v>
      </c>
      <c r="H183" s="28">
        <v>0.6</v>
      </c>
      <c r="I183" s="30">
        <v>1.9000000000000001E-4</v>
      </c>
      <c r="J183" s="30">
        <f t="shared" si="8"/>
        <v>5.0000000000000004E-6</v>
      </c>
      <c r="K183" s="30">
        <v>0.85665950940204327</v>
      </c>
      <c r="L183" s="30">
        <v>17.783000000000001</v>
      </c>
      <c r="M183">
        <f t="shared" si="7"/>
        <v>11.777605163286649</v>
      </c>
    </row>
    <row r="184" spans="1:13" ht="16" x14ac:dyDescent="0.2">
      <c r="A184" s="28">
        <v>15</v>
      </c>
      <c r="B184" s="28">
        <v>16</v>
      </c>
      <c r="C184" s="28">
        <v>24</v>
      </c>
      <c r="D184" s="28" t="s">
        <v>68</v>
      </c>
      <c r="E184" s="28" t="s">
        <v>64</v>
      </c>
      <c r="F184" s="28">
        <v>3.1513677811550065</v>
      </c>
      <c r="G184" s="28">
        <v>13.6</v>
      </c>
      <c r="H184" s="28">
        <v>0.6</v>
      </c>
      <c r="I184" s="30">
        <v>1.9000000000000001E-4</v>
      </c>
      <c r="J184" s="30">
        <f t="shared" si="8"/>
        <v>5.0000000000000004E-6</v>
      </c>
      <c r="K184" s="30">
        <v>1.094150562821264</v>
      </c>
      <c r="L184" s="30">
        <v>10.036</v>
      </c>
      <c r="M184">
        <f t="shared" si="7"/>
        <v>13.412676202736048</v>
      </c>
    </row>
    <row r="185" spans="1:13" ht="16" x14ac:dyDescent="0.2">
      <c r="A185" s="28">
        <v>15</v>
      </c>
      <c r="B185" s="28">
        <v>16</v>
      </c>
      <c r="C185" s="28">
        <v>24</v>
      </c>
      <c r="D185" s="28" t="s">
        <v>68</v>
      </c>
      <c r="E185" s="28" t="s">
        <v>65</v>
      </c>
      <c r="F185" s="28">
        <v>2.8231003039513647</v>
      </c>
      <c r="G185" s="28">
        <v>13.6</v>
      </c>
      <c r="H185" s="28">
        <v>0.6</v>
      </c>
      <c r="I185" s="30">
        <v>1.9000000000000001E-4</v>
      </c>
      <c r="J185" s="30">
        <f t="shared" si="8"/>
        <v>5.0000000000000004E-6</v>
      </c>
      <c r="K185" s="30">
        <v>1.0050100852365151</v>
      </c>
      <c r="L185" s="30">
        <v>16.952000000000002</v>
      </c>
      <c r="M185">
        <f t="shared" si="7"/>
        <v>13.081252441414204</v>
      </c>
    </row>
    <row r="186" spans="1:13" ht="16" x14ac:dyDescent="0.2">
      <c r="A186" s="28">
        <v>15</v>
      </c>
      <c r="B186" s="28">
        <v>16</v>
      </c>
      <c r="C186" s="28">
        <v>24</v>
      </c>
      <c r="D186" s="28" t="s">
        <v>68</v>
      </c>
      <c r="E186" s="28" t="s">
        <v>58</v>
      </c>
      <c r="F186" s="28">
        <v>4.7489361702127653</v>
      </c>
      <c r="G186" s="28">
        <v>13.6</v>
      </c>
      <c r="H186" s="28">
        <v>0.6</v>
      </c>
      <c r="I186" s="30">
        <v>1.9000000000000001E-4</v>
      </c>
      <c r="J186" s="30">
        <f t="shared" si="8"/>
        <v>5.0000000000000004E-6</v>
      </c>
      <c r="K186" s="30">
        <v>1.1696271715791529</v>
      </c>
      <c r="L186" s="30">
        <v>7.3650000000000002</v>
      </c>
      <c r="M186">
        <f t="shared" si="7"/>
        <v>18.907857535537577</v>
      </c>
    </row>
    <row r="187" spans="1:13" ht="16" x14ac:dyDescent="0.2">
      <c r="A187" s="28">
        <v>15</v>
      </c>
      <c r="B187" s="28">
        <v>16</v>
      </c>
      <c r="C187" s="28">
        <v>24</v>
      </c>
      <c r="D187" s="28" t="s">
        <v>68</v>
      </c>
      <c r="E187" s="28" t="s">
        <v>59</v>
      </c>
      <c r="F187" s="28">
        <v>3.4358662613981705</v>
      </c>
      <c r="G187" s="28">
        <v>13.6</v>
      </c>
      <c r="H187" s="28">
        <v>0.6</v>
      </c>
      <c r="I187" s="30">
        <v>1.9000000000000001E-4</v>
      </c>
      <c r="J187" s="30">
        <f t="shared" si="8"/>
        <v>5.0000000000000004E-6</v>
      </c>
      <c r="K187" s="30">
        <v>1.012167349860108</v>
      </c>
      <c r="L187" s="30">
        <v>9.9909999999999997</v>
      </c>
      <c r="M187">
        <f t="shared" si="7"/>
        <v>15.808015929436804</v>
      </c>
    </row>
    <row r="188" spans="1:13" ht="16" x14ac:dyDescent="0.2">
      <c r="A188" s="28">
        <v>15</v>
      </c>
      <c r="B188" s="28">
        <v>16</v>
      </c>
      <c r="C188" s="28">
        <v>24</v>
      </c>
      <c r="D188" s="28" t="s">
        <v>68</v>
      </c>
      <c r="E188" s="28" t="s">
        <v>60</v>
      </c>
      <c r="F188" s="28">
        <v>1.0942249240121518</v>
      </c>
      <c r="G188" s="28">
        <v>13.6</v>
      </c>
      <c r="H188" s="28">
        <v>0.6</v>
      </c>
      <c r="I188" s="30">
        <v>1.9000000000000001E-4</v>
      </c>
      <c r="J188" s="30">
        <f t="shared" si="8"/>
        <v>5.0000000000000004E-6</v>
      </c>
      <c r="K188" s="30">
        <v>0.67642657297156628</v>
      </c>
      <c r="L188" s="30">
        <v>22.236999999999998</v>
      </c>
      <c r="M188">
        <f t="shared" si="7"/>
        <v>7.5331979656040504</v>
      </c>
    </row>
    <row r="189" spans="1:13" ht="16" x14ac:dyDescent="0.2">
      <c r="A189" s="28">
        <v>15</v>
      </c>
      <c r="B189" s="28">
        <v>16</v>
      </c>
      <c r="C189" s="28">
        <v>24</v>
      </c>
      <c r="D189" s="28" t="s">
        <v>68</v>
      </c>
      <c r="E189" s="28" t="s">
        <v>61</v>
      </c>
      <c r="F189" s="28">
        <v>4.1580547112462032</v>
      </c>
      <c r="G189" s="28">
        <v>13.6</v>
      </c>
      <c r="H189" s="28">
        <v>0.6</v>
      </c>
      <c r="I189" s="30">
        <v>1.9000000000000001E-4</v>
      </c>
      <c r="J189" s="30">
        <f t="shared" si="8"/>
        <v>5.0000000000000004E-6</v>
      </c>
      <c r="K189" s="30">
        <v>1.2665755742078211</v>
      </c>
      <c r="L189" s="30">
        <v>7.1989999999999998</v>
      </c>
      <c r="M189">
        <f t="shared" si="7"/>
        <v>15.288065292900278</v>
      </c>
    </row>
    <row r="190" spans="1:13" ht="16" x14ac:dyDescent="0.2">
      <c r="A190" s="28">
        <v>15</v>
      </c>
      <c r="B190" s="28">
        <v>16</v>
      </c>
      <c r="C190" s="28">
        <v>24</v>
      </c>
      <c r="D190" s="28" t="s">
        <v>68</v>
      </c>
      <c r="E190" s="28" t="s">
        <v>62</v>
      </c>
      <c r="F190" s="28">
        <v>1.9039513677811568</v>
      </c>
      <c r="G190" s="28">
        <v>13.6</v>
      </c>
      <c r="H190" s="28">
        <v>0.6</v>
      </c>
      <c r="I190" s="30">
        <v>1.9000000000000001E-4</v>
      </c>
      <c r="J190" s="30">
        <f t="shared" si="8"/>
        <v>5.0000000000000004E-6</v>
      </c>
      <c r="K190" s="30">
        <v>0.78118290064415397</v>
      </c>
      <c r="L190" s="30">
        <v>15.967000000000001</v>
      </c>
      <c r="M190">
        <f t="shared" si="7"/>
        <v>11.350018268176843</v>
      </c>
    </row>
    <row r="191" spans="1:13" ht="16" x14ac:dyDescent="0.2">
      <c r="A191" s="28">
        <v>15</v>
      </c>
      <c r="B191" s="28">
        <v>16</v>
      </c>
      <c r="C191" s="28">
        <v>24</v>
      </c>
      <c r="D191" s="28" t="s">
        <v>68</v>
      </c>
      <c r="E191" s="28" t="s">
        <v>63</v>
      </c>
      <c r="F191" s="28">
        <v>2.8668693009118469</v>
      </c>
      <c r="G191" s="28">
        <v>13.6</v>
      </c>
      <c r="H191" s="28">
        <v>0.6</v>
      </c>
      <c r="I191" s="30">
        <v>1.9000000000000001E-4</v>
      </c>
      <c r="J191" s="30">
        <f t="shared" si="8"/>
        <v>5.0000000000000004E-6</v>
      </c>
      <c r="K191" s="30">
        <v>0.85665950940204327</v>
      </c>
      <c r="L191" s="30">
        <v>17.783000000000001</v>
      </c>
      <c r="M191">
        <f t="shared" si="7"/>
        <v>15.584507842328748</v>
      </c>
    </row>
    <row r="192" spans="1:13" ht="16" x14ac:dyDescent="0.2">
      <c r="A192" s="28">
        <v>15</v>
      </c>
      <c r="B192" s="28">
        <v>16</v>
      </c>
      <c r="C192" s="28">
        <v>24</v>
      </c>
      <c r="D192" s="28" t="s">
        <v>68</v>
      </c>
      <c r="E192" s="28" t="s">
        <v>64</v>
      </c>
      <c r="F192" s="28">
        <v>3.0857142857142787</v>
      </c>
      <c r="G192" s="28">
        <v>13.6</v>
      </c>
      <c r="H192" s="28">
        <v>0.6</v>
      </c>
      <c r="I192" s="30">
        <v>1.9000000000000001E-4</v>
      </c>
      <c r="J192" s="30">
        <f t="shared" si="8"/>
        <v>5.0000000000000004E-6</v>
      </c>
      <c r="K192" s="30">
        <v>1.094150562821264</v>
      </c>
      <c r="L192" s="30">
        <v>10.036</v>
      </c>
      <c r="M192">
        <f t="shared" si="7"/>
        <v>13.133245448512387</v>
      </c>
    </row>
    <row r="193" spans="1:13" ht="16" x14ac:dyDescent="0.2">
      <c r="A193" s="28">
        <v>15</v>
      </c>
      <c r="B193" s="28">
        <v>16</v>
      </c>
      <c r="C193" s="28">
        <v>24</v>
      </c>
      <c r="D193" s="28" t="s">
        <v>68</v>
      </c>
      <c r="E193" s="28" t="s">
        <v>65</v>
      </c>
      <c r="F193" s="28">
        <v>2.823100303951366</v>
      </c>
      <c r="G193" s="28">
        <v>13.6</v>
      </c>
      <c r="H193" s="28">
        <v>0.6</v>
      </c>
      <c r="I193" s="30">
        <v>1.9000000000000001E-4</v>
      </c>
      <c r="J193" s="30">
        <f t="shared" si="8"/>
        <v>5.0000000000000004E-6</v>
      </c>
      <c r="K193" s="30">
        <v>1.0050100852365151</v>
      </c>
      <c r="L193" s="30">
        <v>16.952000000000002</v>
      </c>
      <c r="M193">
        <f t="shared" si="7"/>
        <v>13.081252441414211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2A74-8839-42CC-B645-6E210C607159}">
  <dimension ref="A3:X35"/>
  <sheetViews>
    <sheetView tabSelected="1" topLeftCell="D1" zoomScale="150" workbookViewId="0">
      <selection activeCell="O5" sqref="O5:P9"/>
    </sheetView>
  </sheetViews>
  <sheetFormatPr baseColWidth="10" defaultColWidth="8.83203125" defaultRowHeight="15" x14ac:dyDescent="0.2"/>
  <cols>
    <col min="4" max="4" width="8.83203125" customWidth="1"/>
    <col min="21" max="21" width="13.6640625" customWidth="1"/>
    <col min="23" max="23" width="11.33203125" bestFit="1" customWidth="1"/>
  </cols>
  <sheetData>
    <row r="3" spans="1:24" x14ac:dyDescent="0.2">
      <c r="A3" s="6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O3" t="s">
        <v>70</v>
      </c>
      <c r="P3" t="s">
        <v>71</v>
      </c>
      <c r="S3" s="28" t="s">
        <v>53</v>
      </c>
      <c r="T3" s="28" t="s">
        <v>54</v>
      </c>
      <c r="U3" s="28" t="s">
        <v>77</v>
      </c>
      <c r="V3" s="28" t="s">
        <v>72</v>
      </c>
      <c r="W3" s="28" t="s">
        <v>78</v>
      </c>
      <c r="X3" s="28" t="s">
        <v>83</v>
      </c>
    </row>
    <row r="4" spans="1:24" x14ac:dyDescent="0.2">
      <c r="A4" s="1" t="s">
        <v>45</v>
      </c>
      <c r="B4" s="7">
        <v>1.002</v>
      </c>
      <c r="C4" s="8">
        <v>1.0680000000000001</v>
      </c>
      <c r="D4" s="9">
        <v>0.85299999999999998</v>
      </c>
      <c r="E4" s="8">
        <v>1.125</v>
      </c>
      <c r="F4" s="9">
        <v>0.92</v>
      </c>
      <c r="G4" s="7">
        <v>1.0529999999999999</v>
      </c>
      <c r="H4" s="7">
        <v>0.99199999999999999</v>
      </c>
      <c r="I4" s="8">
        <v>1.155</v>
      </c>
      <c r="J4" s="10"/>
      <c r="K4" s="11">
        <v>1.538</v>
      </c>
      <c r="L4" s="11">
        <v>1.5980000000000001</v>
      </c>
      <c r="M4" s="11">
        <v>1.627</v>
      </c>
      <c r="N4" s="12">
        <v>595</v>
      </c>
      <c r="O4" s="22">
        <v>10</v>
      </c>
      <c r="P4">
        <f t="shared" ref="P4:P9" si="0">(AVERAGE(K4:M4))-0.285</f>
        <v>1.3026666666666666</v>
      </c>
      <c r="S4" s="28" t="s">
        <v>73</v>
      </c>
      <c r="T4" s="28" t="s">
        <v>58</v>
      </c>
      <c r="U4" s="28">
        <f>(AVERAGE(B4:B5))-0.285</f>
        <v>0.6855</v>
      </c>
      <c r="V4" s="28">
        <f>(U4+0.0018)/1.5369</f>
        <v>0.44719890689049391</v>
      </c>
      <c r="W4" s="27">
        <v>2</v>
      </c>
      <c r="X4" s="27">
        <f>V4*W4</f>
        <v>0.89439781378098782</v>
      </c>
    </row>
    <row r="5" spans="1:24" x14ac:dyDescent="0.2">
      <c r="A5" s="1" t="s">
        <v>46</v>
      </c>
      <c r="B5" s="9">
        <v>0.93899999999999995</v>
      </c>
      <c r="C5" s="8">
        <v>1.0720000000000001</v>
      </c>
      <c r="D5" s="10"/>
      <c r="E5" s="8">
        <v>1.121</v>
      </c>
      <c r="F5" s="7">
        <v>0.98199999999999998</v>
      </c>
      <c r="G5" s="8">
        <v>1.071</v>
      </c>
      <c r="H5" s="10"/>
      <c r="I5" s="8">
        <v>1.171</v>
      </c>
      <c r="J5" s="10"/>
      <c r="K5" s="7">
        <v>1</v>
      </c>
      <c r="L5" s="7">
        <v>1.0489999999999999</v>
      </c>
      <c r="M5" s="7">
        <v>1.0580000000000001</v>
      </c>
      <c r="N5" s="12">
        <v>595</v>
      </c>
      <c r="O5" s="23">
        <v>0.5</v>
      </c>
      <c r="P5">
        <f t="shared" si="0"/>
        <v>0.75066666666666682</v>
      </c>
      <c r="S5" s="28" t="s">
        <v>73</v>
      </c>
      <c r="T5" s="28" t="s">
        <v>59</v>
      </c>
      <c r="U5" s="28">
        <f>(AVERAGE(C4:C5))-0.285</f>
        <v>0.78500000000000014</v>
      </c>
      <c r="V5" s="28">
        <f>(U5+0.0018)/1.5369</f>
        <v>0.51193961871299387</v>
      </c>
      <c r="W5" s="27">
        <v>2</v>
      </c>
      <c r="X5" s="27">
        <f t="shared" ref="X5:X35" si="1">V5*W5</f>
        <v>1.0238792374259877</v>
      </c>
    </row>
    <row r="6" spans="1:24" x14ac:dyDescent="0.2">
      <c r="A6" s="1" t="s">
        <v>47</v>
      </c>
      <c r="B6" s="13">
        <v>1.2090000000000001</v>
      </c>
      <c r="C6" s="13">
        <v>1.196</v>
      </c>
      <c r="D6" s="7">
        <v>0.97199999999999998</v>
      </c>
      <c r="E6" s="13">
        <v>1.1819999999999999</v>
      </c>
      <c r="F6" s="13">
        <v>1.214</v>
      </c>
      <c r="G6" s="13">
        <v>1.282</v>
      </c>
      <c r="H6" s="13">
        <v>1.1819999999999999</v>
      </c>
      <c r="I6" s="8">
        <v>1.069</v>
      </c>
      <c r="J6" s="10"/>
      <c r="K6" s="9">
        <v>0.85799999999999998</v>
      </c>
      <c r="L6" s="9">
        <v>0.93700000000000006</v>
      </c>
      <c r="M6" s="9">
        <v>0.92400000000000004</v>
      </c>
      <c r="N6" s="12">
        <v>595</v>
      </c>
      <c r="O6" s="24">
        <v>0.4</v>
      </c>
      <c r="P6">
        <f t="shared" si="0"/>
        <v>0.62133333333333329</v>
      </c>
      <c r="S6" s="28" t="s">
        <v>73</v>
      </c>
      <c r="T6" s="28" t="s">
        <v>60</v>
      </c>
      <c r="U6" s="28">
        <f>(D4)-0.285</f>
        <v>0.56800000000000006</v>
      </c>
      <c r="V6" s="28">
        <f t="shared" ref="V6:V35" si="2">(U6+0.0018)/1.5369</f>
        <v>0.37074630750211474</v>
      </c>
      <c r="W6" s="27">
        <v>2</v>
      </c>
      <c r="X6" s="27">
        <f t="shared" si="1"/>
        <v>0.74149261500422947</v>
      </c>
    </row>
    <row r="7" spans="1:24" x14ac:dyDescent="0.2">
      <c r="A7" s="1" t="s">
        <v>48</v>
      </c>
      <c r="B7" s="13">
        <v>1.2370000000000001</v>
      </c>
      <c r="C7" s="13">
        <v>1.218</v>
      </c>
      <c r="D7" s="7">
        <v>0.96</v>
      </c>
      <c r="E7" s="13">
        <v>1.1759999999999999</v>
      </c>
      <c r="F7" s="13">
        <v>1.214</v>
      </c>
      <c r="G7" s="10"/>
      <c r="H7" s="8">
        <v>1.141</v>
      </c>
      <c r="I7" s="8">
        <v>1.069</v>
      </c>
      <c r="J7" s="10"/>
      <c r="K7" s="14">
        <v>0.65900000000000003</v>
      </c>
      <c r="L7" s="14">
        <v>0.71</v>
      </c>
      <c r="M7" s="14">
        <v>0.68799999999999994</v>
      </c>
      <c r="N7" s="12">
        <v>595</v>
      </c>
      <c r="O7" s="26">
        <v>0.25</v>
      </c>
      <c r="P7">
        <f t="shared" si="0"/>
        <v>0.40066666666666667</v>
      </c>
      <c r="S7" s="28" t="s">
        <v>73</v>
      </c>
      <c r="T7" s="28" t="s">
        <v>61</v>
      </c>
      <c r="U7" s="28">
        <f>(AVERAGE(E4:E5))-0.285</f>
        <v>0.83800000000000008</v>
      </c>
      <c r="V7" s="28">
        <f t="shared" si="2"/>
        <v>0.5464246209903052</v>
      </c>
      <c r="W7" s="27">
        <v>2</v>
      </c>
      <c r="X7" s="27">
        <f t="shared" si="1"/>
        <v>1.0928492419806104</v>
      </c>
    </row>
    <row r="8" spans="1:24" x14ac:dyDescent="0.2">
      <c r="A8" s="1" t="s">
        <v>49</v>
      </c>
      <c r="B8" s="8">
        <v>1.147</v>
      </c>
      <c r="C8" s="7">
        <v>0.98199999999999998</v>
      </c>
      <c r="D8" s="8">
        <v>1.129</v>
      </c>
      <c r="E8" s="8">
        <v>1.0980000000000001</v>
      </c>
      <c r="F8" s="7">
        <v>1.024</v>
      </c>
      <c r="G8" s="15">
        <v>0.82799999999999996</v>
      </c>
      <c r="H8" s="8">
        <v>1.133</v>
      </c>
      <c r="I8" s="7">
        <v>1.0509999999999999</v>
      </c>
      <c r="J8" s="10"/>
      <c r="K8" s="16">
        <v>0.46100000000000002</v>
      </c>
      <c r="L8" s="17">
        <v>0.5</v>
      </c>
      <c r="M8" s="16">
        <v>0.48899999999999999</v>
      </c>
      <c r="N8" s="12">
        <v>595</v>
      </c>
      <c r="O8" s="24">
        <v>0.125</v>
      </c>
      <c r="P8">
        <f t="shared" si="0"/>
        <v>0.19833333333333342</v>
      </c>
      <c r="S8" s="28" t="s">
        <v>73</v>
      </c>
      <c r="T8" s="28" t="s">
        <v>62</v>
      </c>
      <c r="U8" s="28">
        <f>(AVERAGE(F4:F5))-0.285</f>
        <v>0.66600000000000015</v>
      </c>
      <c r="V8" s="28">
        <f t="shared" si="2"/>
        <v>0.43451102869412467</v>
      </c>
      <c r="W8" s="27">
        <v>2</v>
      </c>
      <c r="X8" s="27">
        <f t="shared" si="1"/>
        <v>0.86902205738824934</v>
      </c>
    </row>
    <row r="9" spans="1:24" x14ac:dyDescent="0.2">
      <c r="A9" s="1" t="s">
        <v>50</v>
      </c>
      <c r="B9" s="13">
        <v>1.204</v>
      </c>
      <c r="C9" s="7">
        <v>1.0609999999999999</v>
      </c>
      <c r="D9" s="13">
        <v>1.1779999999999999</v>
      </c>
      <c r="E9" s="8">
        <v>1.1200000000000001</v>
      </c>
      <c r="F9" s="8">
        <v>1.0720000000000001</v>
      </c>
      <c r="G9" s="9">
        <v>0.93300000000000005</v>
      </c>
      <c r="H9" s="13">
        <v>1.1890000000000001</v>
      </c>
      <c r="I9" s="7">
        <v>1.046</v>
      </c>
      <c r="J9" s="10"/>
      <c r="K9" s="18">
        <v>0.32300000000000001</v>
      </c>
      <c r="L9" s="18">
        <v>0.35499999999999998</v>
      </c>
      <c r="M9" s="18">
        <v>0.34599999999999997</v>
      </c>
      <c r="N9" s="12">
        <v>595</v>
      </c>
      <c r="O9" s="26">
        <v>0.05</v>
      </c>
      <c r="P9">
        <f t="shared" si="0"/>
        <v>5.6333333333333346E-2</v>
      </c>
      <c r="S9" s="28" t="s">
        <v>73</v>
      </c>
      <c r="T9" s="28" t="s">
        <v>63</v>
      </c>
      <c r="U9" s="28">
        <f>(AVERAGE(G4:G5))-0.285</f>
        <v>0.77699999999999991</v>
      </c>
      <c r="V9" s="28">
        <f t="shared" si="2"/>
        <v>0.50673433535038059</v>
      </c>
      <c r="W9" s="27">
        <v>2</v>
      </c>
      <c r="X9" s="27">
        <f t="shared" si="1"/>
        <v>1.0134686707007612</v>
      </c>
    </row>
    <row r="10" spans="1:24" x14ac:dyDescent="0.2">
      <c r="A10" s="1" t="s">
        <v>51</v>
      </c>
      <c r="B10" s="8">
        <v>1.1739999999999999</v>
      </c>
      <c r="C10" s="7">
        <v>1.06</v>
      </c>
      <c r="D10" s="9">
        <v>0.85399999999999998</v>
      </c>
      <c r="E10" s="19">
        <v>1.29</v>
      </c>
      <c r="F10" s="9">
        <v>0.88200000000000001</v>
      </c>
      <c r="G10" s="7">
        <v>0.95399999999999996</v>
      </c>
      <c r="H10" s="8">
        <v>1.107</v>
      </c>
      <c r="I10" s="8">
        <v>1.081</v>
      </c>
      <c r="J10" s="10"/>
      <c r="K10" s="18">
        <v>0.29299999999999998</v>
      </c>
      <c r="L10" s="18">
        <v>0.28000000000000003</v>
      </c>
      <c r="M10" s="18">
        <v>0.28199999999999997</v>
      </c>
      <c r="N10" s="12">
        <v>595</v>
      </c>
      <c r="O10" s="25">
        <v>0</v>
      </c>
      <c r="P10">
        <f t="shared" ref="P10" si="3">AVERAGE(K10:M10)</f>
        <v>0.28499999999999998</v>
      </c>
      <c r="S10" s="28" t="s">
        <v>73</v>
      </c>
      <c r="T10" s="28" t="s">
        <v>64</v>
      </c>
      <c r="U10" s="28">
        <f>(H4)-0.285</f>
        <v>0.70700000000000007</v>
      </c>
      <c r="V10" s="28">
        <f t="shared" si="2"/>
        <v>0.46118810592751652</v>
      </c>
      <c r="W10" s="27">
        <v>2</v>
      </c>
      <c r="X10" s="27">
        <f t="shared" si="1"/>
        <v>0.92237621185503305</v>
      </c>
    </row>
    <row r="11" spans="1:24" x14ac:dyDescent="0.2">
      <c r="A11" s="1" t="s">
        <v>52</v>
      </c>
      <c r="B11" s="13">
        <v>1.19</v>
      </c>
      <c r="C11" s="8">
        <v>1.0620000000000001</v>
      </c>
      <c r="D11" s="15">
        <v>0.752</v>
      </c>
      <c r="E11" s="13">
        <v>1.2230000000000001</v>
      </c>
      <c r="F11" s="9">
        <v>0.88500000000000001</v>
      </c>
      <c r="G11" s="9">
        <v>0.92900000000000005</v>
      </c>
      <c r="H11" s="8">
        <v>1.141</v>
      </c>
      <c r="I11" s="7">
        <v>1.03</v>
      </c>
      <c r="J11" s="10"/>
      <c r="K11" s="10"/>
      <c r="L11" s="10"/>
      <c r="M11" s="10"/>
      <c r="N11" s="12">
        <v>595</v>
      </c>
      <c r="S11" s="28" t="s">
        <v>73</v>
      </c>
      <c r="T11" s="28" t="s">
        <v>65</v>
      </c>
      <c r="U11" s="28">
        <f>(AVERAGE(I4:I5))-0.285</f>
        <v>0.87800000000000011</v>
      </c>
      <c r="V11" s="28">
        <f t="shared" si="2"/>
        <v>0.57245103780337059</v>
      </c>
      <c r="W11" s="27">
        <v>2</v>
      </c>
      <c r="X11" s="27">
        <f t="shared" si="1"/>
        <v>1.1449020756067412</v>
      </c>
    </row>
    <row r="12" spans="1:24" x14ac:dyDescent="0.2">
      <c r="S12" s="28" t="s">
        <v>74</v>
      </c>
      <c r="T12" s="28" t="s">
        <v>58</v>
      </c>
      <c r="U12" s="28">
        <f>(AVERAGE(B6:B7))-0.285</f>
        <v>0.93800000000000017</v>
      </c>
      <c r="V12" s="28">
        <f t="shared" si="2"/>
        <v>0.61149066302296851</v>
      </c>
      <c r="W12" s="27">
        <v>2</v>
      </c>
      <c r="X12" s="27">
        <f t="shared" si="1"/>
        <v>1.222981326045937</v>
      </c>
    </row>
    <row r="13" spans="1:24" x14ac:dyDescent="0.2">
      <c r="S13" s="28" t="s">
        <v>74</v>
      </c>
      <c r="T13" s="28" t="s">
        <v>59</v>
      </c>
      <c r="U13" s="28">
        <f>(AVERAGE(C6:C7))-0.285</f>
        <v>0.92199999999999993</v>
      </c>
      <c r="V13" s="28">
        <f t="shared" si="2"/>
        <v>0.60108009629774217</v>
      </c>
      <c r="W13" s="27">
        <v>2</v>
      </c>
      <c r="X13" s="27">
        <f t="shared" si="1"/>
        <v>1.2021601925954843</v>
      </c>
    </row>
    <row r="14" spans="1:24" x14ac:dyDescent="0.2">
      <c r="S14" s="28" t="s">
        <v>74</v>
      </c>
      <c r="T14" s="28" t="s">
        <v>60</v>
      </c>
      <c r="U14" s="28">
        <f>(AVERAGE(D6:D7))-0.285</f>
        <v>0.68100000000000005</v>
      </c>
      <c r="V14" s="28">
        <f t="shared" si="2"/>
        <v>0.44427093499902409</v>
      </c>
      <c r="W14" s="27">
        <v>2</v>
      </c>
      <c r="X14" s="27">
        <f t="shared" si="1"/>
        <v>0.88854186999804818</v>
      </c>
    </row>
    <row r="15" spans="1:24" x14ac:dyDescent="0.2">
      <c r="S15" s="28" t="s">
        <v>74</v>
      </c>
      <c r="T15" s="28" t="s">
        <v>61</v>
      </c>
      <c r="U15" s="28">
        <f>(AVERAGE(E6:E7))-0.285</f>
        <v>0.89399999999999991</v>
      </c>
      <c r="V15" s="28">
        <f t="shared" si="2"/>
        <v>0.58286160452859648</v>
      </c>
      <c r="W15" s="27">
        <v>2</v>
      </c>
      <c r="X15" s="27">
        <f t="shared" si="1"/>
        <v>1.165723209057193</v>
      </c>
    </row>
    <row r="16" spans="1:24" x14ac:dyDescent="0.2">
      <c r="S16" s="28" t="s">
        <v>74</v>
      </c>
      <c r="T16" s="28" t="s">
        <v>62</v>
      </c>
      <c r="U16" s="28">
        <f>(AVERAGE(F6:F7))-0.285</f>
        <v>0.92900000000000005</v>
      </c>
      <c r="V16" s="28">
        <f t="shared" si="2"/>
        <v>0.60563471924002865</v>
      </c>
      <c r="W16" s="27">
        <v>2</v>
      </c>
      <c r="X16" s="27">
        <f t="shared" si="1"/>
        <v>1.2112694384800573</v>
      </c>
    </row>
    <row r="17" spans="19:24" x14ac:dyDescent="0.2">
      <c r="S17" s="28" t="s">
        <v>74</v>
      </c>
      <c r="T17" s="28" t="s">
        <v>63</v>
      </c>
      <c r="U17" s="28">
        <f>(G6)-0.285</f>
        <v>0.99700000000000011</v>
      </c>
      <c r="V17" s="28">
        <f t="shared" si="2"/>
        <v>0.64987962782223974</v>
      </c>
      <c r="W17" s="27">
        <v>2</v>
      </c>
      <c r="X17" s="27">
        <f t="shared" si="1"/>
        <v>1.2997592556444795</v>
      </c>
    </row>
    <row r="18" spans="19:24" x14ac:dyDescent="0.2">
      <c r="S18" s="28" t="s">
        <v>74</v>
      </c>
      <c r="T18" s="28" t="s">
        <v>64</v>
      </c>
      <c r="U18" s="28">
        <f>(AVERAGE(H6:H7))-0.285</f>
        <v>0.87650000000000006</v>
      </c>
      <c r="V18" s="28">
        <f t="shared" si="2"/>
        <v>0.57147504717288056</v>
      </c>
      <c r="W18" s="27">
        <v>2</v>
      </c>
      <c r="X18" s="27">
        <f t="shared" si="1"/>
        <v>1.1429500943457611</v>
      </c>
    </row>
    <row r="19" spans="19:24" x14ac:dyDescent="0.2">
      <c r="S19" s="28" t="s">
        <v>74</v>
      </c>
      <c r="T19" s="28" t="s">
        <v>65</v>
      </c>
      <c r="U19" s="28">
        <f>(AVERAGE(I6:I7))-0.285</f>
        <v>0.78400000000000003</v>
      </c>
      <c r="V19" s="28">
        <f t="shared" si="2"/>
        <v>0.51128895829266707</v>
      </c>
      <c r="W19" s="27">
        <v>2</v>
      </c>
      <c r="X19" s="27">
        <f t="shared" si="1"/>
        <v>1.0225779165853341</v>
      </c>
    </row>
    <row r="20" spans="19:24" x14ac:dyDescent="0.2">
      <c r="S20" s="28" t="s">
        <v>75</v>
      </c>
      <c r="T20" s="28" t="s">
        <v>58</v>
      </c>
      <c r="U20" s="28">
        <f>(AVERAGE(B8:B9))-0.285</f>
        <v>0.89050000000000007</v>
      </c>
      <c r="V20" s="28">
        <f t="shared" si="2"/>
        <v>0.5805842930574534</v>
      </c>
      <c r="W20" s="27">
        <v>2</v>
      </c>
      <c r="X20" s="27">
        <f t="shared" si="1"/>
        <v>1.1611685861149068</v>
      </c>
    </row>
    <row r="21" spans="19:24" x14ac:dyDescent="0.2">
      <c r="S21" s="28" t="s">
        <v>75</v>
      </c>
      <c r="T21" s="28" t="s">
        <v>59</v>
      </c>
      <c r="U21" s="28">
        <f>(AVERAGE(C8:C9))-0.285</f>
        <v>0.73650000000000015</v>
      </c>
      <c r="V21" s="28">
        <f t="shared" si="2"/>
        <v>0.48038258832715219</v>
      </c>
      <c r="W21" s="27">
        <v>2</v>
      </c>
      <c r="X21" s="27">
        <f t="shared" si="1"/>
        <v>0.96076517665430439</v>
      </c>
    </row>
    <row r="22" spans="19:24" x14ac:dyDescent="0.2">
      <c r="S22" s="28" t="s">
        <v>75</v>
      </c>
      <c r="T22" s="28" t="s">
        <v>60</v>
      </c>
      <c r="U22" s="28">
        <f>(AVERAGE(D8:D9))-0.285</f>
        <v>0.86850000000000005</v>
      </c>
      <c r="V22" s="28">
        <f t="shared" si="2"/>
        <v>0.5662697638102675</v>
      </c>
      <c r="W22" s="27">
        <v>2</v>
      </c>
      <c r="X22" s="27">
        <f t="shared" si="1"/>
        <v>1.132539527620535</v>
      </c>
    </row>
    <row r="23" spans="19:24" x14ac:dyDescent="0.2">
      <c r="S23" s="28" t="s">
        <v>75</v>
      </c>
      <c r="T23" s="28" t="s">
        <v>61</v>
      </c>
      <c r="U23" s="28">
        <f>(AVERAGE(E8:E9))-0.285</f>
        <v>0.82400000000000007</v>
      </c>
      <c r="V23" s="28">
        <f t="shared" si="2"/>
        <v>0.53731537510573235</v>
      </c>
      <c r="W23" s="27">
        <v>2</v>
      </c>
      <c r="X23" s="27">
        <f t="shared" si="1"/>
        <v>1.0746307502114647</v>
      </c>
    </row>
    <row r="24" spans="19:24" x14ac:dyDescent="0.2">
      <c r="S24" s="28" t="s">
        <v>75</v>
      </c>
      <c r="T24" s="28" t="s">
        <v>62</v>
      </c>
      <c r="U24" s="28">
        <f>(AVERAGE(F8:F9))-0.285</f>
        <v>0.76300000000000012</v>
      </c>
      <c r="V24" s="28">
        <f t="shared" si="2"/>
        <v>0.49762508946580791</v>
      </c>
      <c r="W24" s="27">
        <v>2</v>
      </c>
      <c r="X24" s="27">
        <f t="shared" si="1"/>
        <v>0.99525017893161583</v>
      </c>
    </row>
    <row r="25" spans="19:24" x14ac:dyDescent="0.2">
      <c r="S25" s="28" t="s">
        <v>75</v>
      </c>
      <c r="T25" s="28" t="s">
        <v>63</v>
      </c>
      <c r="U25" s="28">
        <f>(AVERAGE(G8:G9))-0.285</f>
        <v>0.59550000000000014</v>
      </c>
      <c r="V25" s="28">
        <f t="shared" si="2"/>
        <v>0.38863946906109714</v>
      </c>
      <c r="W25" s="27">
        <v>2</v>
      </c>
      <c r="X25" s="27">
        <f t="shared" si="1"/>
        <v>0.77727893812219429</v>
      </c>
    </row>
    <row r="26" spans="19:24" x14ac:dyDescent="0.2">
      <c r="S26" s="28" t="s">
        <v>75</v>
      </c>
      <c r="T26" s="28" t="s">
        <v>64</v>
      </c>
      <c r="U26" s="28">
        <f>(AVERAGE(H8:H9))-0.285</f>
        <v>0.87600000000000011</v>
      </c>
      <c r="V26" s="28">
        <f t="shared" si="2"/>
        <v>0.57114971696271732</v>
      </c>
      <c r="W26" s="27">
        <v>2</v>
      </c>
      <c r="X26" s="27">
        <f t="shared" si="1"/>
        <v>1.1422994339254346</v>
      </c>
    </row>
    <row r="27" spans="19:24" x14ac:dyDescent="0.2">
      <c r="S27" s="28" t="s">
        <v>75</v>
      </c>
      <c r="T27" s="28" t="s">
        <v>65</v>
      </c>
      <c r="U27" s="28">
        <f>(AVERAGE(I8:I9))-0.285</f>
        <v>0.76350000000000007</v>
      </c>
      <c r="V27" s="28">
        <f t="shared" si="2"/>
        <v>0.4979504196759712</v>
      </c>
      <c r="W27" s="27">
        <v>2</v>
      </c>
      <c r="X27" s="27">
        <f t="shared" si="1"/>
        <v>0.9959008393519424</v>
      </c>
    </row>
    <row r="28" spans="19:24" x14ac:dyDescent="0.2">
      <c r="S28" s="28" t="s">
        <v>76</v>
      </c>
      <c r="T28" s="28" t="s">
        <v>58</v>
      </c>
      <c r="U28" s="28">
        <f>(AVERAGE(B10:B11))-0.285</f>
        <v>0.89700000000000002</v>
      </c>
      <c r="V28" s="28">
        <f t="shared" si="2"/>
        <v>0.58481358578957643</v>
      </c>
      <c r="W28" s="27">
        <v>2</v>
      </c>
      <c r="X28" s="27">
        <f t="shared" si="1"/>
        <v>1.1696271715791529</v>
      </c>
    </row>
    <row r="29" spans="19:24" x14ac:dyDescent="0.2">
      <c r="S29" s="28" t="s">
        <v>76</v>
      </c>
      <c r="T29" s="28" t="s">
        <v>59</v>
      </c>
      <c r="U29" s="28">
        <f>(AVERAGE(C10:C11))-0.285</f>
        <v>0.77600000000000002</v>
      </c>
      <c r="V29" s="28">
        <f t="shared" si="2"/>
        <v>0.50608367493005402</v>
      </c>
      <c r="W29" s="27">
        <v>2</v>
      </c>
      <c r="X29" s="27">
        <f t="shared" si="1"/>
        <v>1.012167349860108</v>
      </c>
    </row>
    <row r="30" spans="19:24" x14ac:dyDescent="0.2">
      <c r="S30" s="28" t="s">
        <v>76</v>
      </c>
      <c r="T30" s="28" t="s">
        <v>60</v>
      </c>
      <c r="U30" s="28">
        <f>(AVERAGE(D10:D11))-0.285</f>
        <v>0.51800000000000002</v>
      </c>
      <c r="V30" s="28">
        <f t="shared" si="2"/>
        <v>0.33821328648578314</v>
      </c>
      <c r="W30" s="27">
        <v>2</v>
      </c>
      <c r="X30" s="27">
        <f t="shared" si="1"/>
        <v>0.67642657297156628</v>
      </c>
    </row>
    <row r="31" spans="19:24" x14ac:dyDescent="0.2">
      <c r="S31" s="28" t="s">
        <v>76</v>
      </c>
      <c r="T31" s="28" t="s">
        <v>61</v>
      </c>
      <c r="U31" s="28">
        <f>(AVERAGE(E10:E11))-0.285</f>
        <v>0.97150000000000003</v>
      </c>
      <c r="V31" s="28">
        <f t="shared" si="2"/>
        <v>0.63328778710391054</v>
      </c>
      <c r="W31" s="27">
        <v>2</v>
      </c>
      <c r="X31" s="27">
        <f t="shared" si="1"/>
        <v>1.2665755742078211</v>
      </c>
    </row>
    <row r="32" spans="19:24" x14ac:dyDescent="0.2">
      <c r="S32" s="28" t="s">
        <v>76</v>
      </c>
      <c r="T32" s="28" t="s">
        <v>62</v>
      </c>
      <c r="U32" s="28">
        <f>(AVERAGE(F10:F11))-0.285</f>
        <v>0.59850000000000003</v>
      </c>
      <c r="V32" s="28">
        <f t="shared" si="2"/>
        <v>0.39059145032207698</v>
      </c>
      <c r="W32" s="27">
        <v>2</v>
      </c>
      <c r="X32" s="27">
        <f t="shared" si="1"/>
        <v>0.78118290064415397</v>
      </c>
    </row>
    <row r="33" spans="19:24" x14ac:dyDescent="0.2">
      <c r="S33" s="28" t="s">
        <v>76</v>
      </c>
      <c r="T33" s="28" t="s">
        <v>63</v>
      </c>
      <c r="U33" s="28">
        <f>(AVERAGE(G10:G11))-0.285</f>
        <v>0.65650000000000008</v>
      </c>
      <c r="V33" s="28">
        <f t="shared" si="2"/>
        <v>0.42832975470102164</v>
      </c>
      <c r="W33" s="27">
        <v>2</v>
      </c>
      <c r="X33" s="27">
        <f t="shared" si="1"/>
        <v>0.85665950940204327</v>
      </c>
    </row>
    <row r="34" spans="19:24" x14ac:dyDescent="0.2">
      <c r="S34" s="28" t="s">
        <v>76</v>
      </c>
      <c r="T34" s="28" t="s">
        <v>64</v>
      </c>
      <c r="U34" s="28">
        <f>(AVERAGE(H10:H11))-0.285</f>
        <v>0.83900000000000019</v>
      </c>
      <c r="V34" s="28">
        <f t="shared" si="2"/>
        <v>0.547075281410632</v>
      </c>
      <c r="W34" s="27">
        <v>2</v>
      </c>
      <c r="X34" s="27">
        <f t="shared" si="1"/>
        <v>1.094150562821264</v>
      </c>
    </row>
    <row r="35" spans="19:24" x14ac:dyDescent="0.2">
      <c r="S35" s="28" t="s">
        <v>76</v>
      </c>
      <c r="T35" s="28" t="s">
        <v>65</v>
      </c>
      <c r="U35" s="28">
        <f>(AVERAGE(I10:I11))-0.285</f>
        <v>0.77049999999999996</v>
      </c>
      <c r="V35" s="28">
        <f t="shared" si="2"/>
        <v>0.50250504261825757</v>
      </c>
      <c r="W35" s="27">
        <v>2</v>
      </c>
      <c r="X35" s="27">
        <f t="shared" si="1"/>
        <v>1.0050100852365151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AA59-BE44-45DF-8B53-1EF0A5ADD36B}">
  <dimension ref="A1:AM102"/>
  <sheetViews>
    <sheetView zoomScale="131" workbookViewId="0">
      <selection activeCell="I107" sqref="I107"/>
    </sheetView>
  </sheetViews>
  <sheetFormatPr baseColWidth="10" defaultColWidth="8.83203125" defaultRowHeight="15" x14ac:dyDescent="0.2"/>
  <sheetData>
    <row r="1" spans="1:39" x14ac:dyDescent="0.2">
      <c r="A1" t="s">
        <v>42</v>
      </c>
    </row>
    <row r="3" spans="1:39" x14ac:dyDescent="0.2">
      <c r="A3" s="1" t="s">
        <v>0</v>
      </c>
      <c r="B3" s="1" t="s">
        <v>1</v>
      </c>
      <c r="C3" s="1" t="s">
        <v>10</v>
      </c>
      <c r="D3" s="1" t="s">
        <v>19</v>
      </c>
      <c r="E3" s="1" t="s">
        <v>29</v>
      </c>
      <c r="F3" s="1" t="s">
        <v>2</v>
      </c>
      <c r="G3" s="1" t="s">
        <v>11</v>
      </c>
      <c r="H3" s="1" t="s">
        <v>20</v>
      </c>
      <c r="I3" s="1" t="s">
        <v>30</v>
      </c>
      <c r="J3" s="1" t="s">
        <v>3</v>
      </c>
      <c r="K3" s="1" t="s">
        <v>12</v>
      </c>
      <c r="L3" s="1" t="s">
        <v>21</v>
      </c>
      <c r="M3" s="1" t="s">
        <v>31</v>
      </c>
      <c r="N3" s="1" t="s">
        <v>4</v>
      </c>
      <c r="O3" s="1" t="s">
        <v>13</v>
      </c>
      <c r="P3" s="1" t="s">
        <v>22</v>
      </c>
      <c r="Q3" s="1" t="s">
        <v>32</v>
      </c>
      <c r="R3" s="1" t="s">
        <v>5</v>
      </c>
      <c r="S3" s="1" t="s">
        <v>14</v>
      </c>
      <c r="T3" s="1" t="s">
        <v>23</v>
      </c>
      <c r="U3" s="1" t="s">
        <v>33</v>
      </c>
      <c r="V3" s="1" t="s">
        <v>6</v>
      </c>
      <c r="W3" s="1" t="s">
        <v>15</v>
      </c>
      <c r="X3" s="1" t="s">
        <v>24</v>
      </c>
      <c r="Y3" s="1" t="s">
        <v>34</v>
      </c>
      <c r="Z3" s="1" t="s">
        <v>7</v>
      </c>
      <c r="AA3" s="1" t="s">
        <v>16</v>
      </c>
      <c r="AB3" s="1" t="s">
        <v>25</v>
      </c>
      <c r="AC3" s="1" t="s">
        <v>35</v>
      </c>
      <c r="AD3" s="1" t="s">
        <v>8</v>
      </c>
      <c r="AE3" s="1" t="s">
        <v>17</v>
      </c>
      <c r="AF3" s="1" t="s">
        <v>26</v>
      </c>
      <c r="AG3" s="1" t="s">
        <v>36</v>
      </c>
      <c r="AH3" s="1" t="s">
        <v>9</v>
      </c>
      <c r="AI3" s="1" t="s">
        <v>18</v>
      </c>
      <c r="AJ3" s="1" t="s">
        <v>27</v>
      </c>
      <c r="AK3" s="1" t="s">
        <v>37</v>
      </c>
      <c r="AM3" s="21" t="s">
        <v>69</v>
      </c>
    </row>
    <row r="4" spans="1:39" x14ac:dyDescent="0.2">
      <c r="A4" s="2">
        <v>0</v>
      </c>
      <c r="B4" s="3">
        <v>0.13500000000000001</v>
      </c>
      <c r="C4" s="3">
        <v>0.129</v>
      </c>
      <c r="D4" s="3">
        <v>0.128</v>
      </c>
      <c r="E4" s="3">
        <v>0.13</v>
      </c>
      <c r="F4" s="3">
        <v>0.13300000000000001</v>
      </c>
      <c r="G4" s="3">
        <v>0.128</v>
      </c>
      <c r="H4" s="3">
        <v>0.127</v>
      </c>
      <c r="I4" s="3">
        <v>0.128</v>
      </c>
      <c r="J4" s="3">
        <v>0.13100000000000001</v>
      </c>
      <c r="K4" s="3">
        <v>0.13</v>
      </c>
      <c r="L4" s="3">
        <v>0.126</v>
      </c>
      <c r="M4" s="3">
        <v>0.129</v>
      </c>
      <c r="N4" s="3">
        <v>0.129</v>
      </c>
      <c r="O4" s="3">
        <v>0.13</v>
      </c>
      <c r="P4" s="3">
        <v>0.122</v>
      </c>
      <c r="Q4" s="3">
        <v>0.13200000000000001</v>
      </c>
      <c r="R4" s="3">
        <v>0.123</v>
      </c>
      <c r="S4" s="3">
        <v>0.129</v>
      </c>
      <c r="T4" s="3">
        <v>0.125</v>
      </c>
      <c r="U4" s="3">
        <v>0.123</v>
      </c>
      <c r="V4" s="3">
        <v>0.13200000000000001</v>
      </c>
      <c r="W4" s="3">
        <v>0.13300000000000001</v>
      </c>
      <c r="X4" s="3">
        <v>0.126</v>
      </c>
      <c r="Y4" s="3">
        <v>0.124</v>
      </c>
      <c r="Z4" s="3">
        <v>0.129</v>
      </c>
      <c r="AA4" s="3">
        <v>0.13100000000000001</v>
      </c>
      <c r="AB4" s="3">
        <v>0.127</v>
      </c>
      <c r="AC4" s="3">
        <v>0.128</v>
      </c>
      <c r="AD4" s="3">
        <v>0.128</v>
      </c>
      <c r="AE4" s="3">
        <v>0.124</v>
      </c>
      <c r="AF4" s="3">
        <v>0.122</v>
      </c>
      <c r="AG4" s="3">
        <v>0.12</v>
      </c>
      <c r="AH4" s="3">
        <v>0.115</v>
      </c>
      <c r="AI4" s="3">
        <v>0.11799999999999999</v>
      </c>
      <c r="AJ4" s="3">
        <v>0.115</v>
      </c>
      <c r="AK4" s="3">
        <v>0.11700000000000001</v>
      </c>
      <c r="AM4">
        <f>AVERAGE(AH17:AK17)</f>
        <v>-3.939209726443773E-2</v>
      </c>
    </row>
    <row r="5" spans="1:39" x14ac:dyDescent="0.2">
      <c r="A5" s="2">
        <v>5.4398148148148144E-4</v>
      </c>
      <c r="B5" s="3">
        <v>0.13600000000000001</v>
      </c>
      <c r="C5" s="3">
        <v>0.13</v>
      </c>
      <c r="D5" s="3">
        <v>0.128</v>
      </c>
      <c r="E5" s="3">
        <v>0.13100000000000001</v>
      </c>
      <c r="F5" s="3">
        <v>0.13400000000000001</v>
      </c>
      <c r="G5" s="3">
        <v>0.129</v>
      </c>
      <c r="H5" s="3">
        <v>0.128</v>
      </c>
      <c r="I5" s="3">
        <v>0.128</v>
      </c>
      <c r="J5" s="3">
        <v>0.13200000000000001</v>
      </c>
      <c r="K5" s="3">
        <v>0.13</v>
      </c>
      <c r="L5" s="3">
        <v>0.127</v>
      </c>
      <c r="M5" s="3">
        <v>0.129</v>
      </c>
      <c r="N5" s="3">
        <v>0.13</v>
      </c>
      <c r="O5" s="3">
        <v>0.13100000000000001</v>
      </c>
      <c r="P5" s="3">
        <v>0.124</v>
      </c>
      <c r="Q5" s="3">
        <v>0.13200000000000001</v>
      </c>
      <c r="R5" s="3">
        <v>0.124</v>
      </c>
      <c r="S5" s="3">
        <v>0.13</v>
      </c>
      <c r="T5" s="3">
        <v>0.126</v>
      </c>
      <c r="U5" s="3">
        <v>0.123</v>
      </c>
      <c r="V5" s="3">
        <v>0.13300000000000001</v>
      </c>
      <c r="W5" s="3">
        <v>0.13500000000000001</v>
      </c>
      <c r="X5" s="3">
        <v>0.127</v>
      </c>
      <c r="Y5" s="3">
        <v>0.124</v>
      </c>
      <c r="Z5" s="3">
        <v>0.13</v>
      </c>
      <c r="AA5" s="3">
        <v>0.13200000000000001</v>
      </c>
      <c r="AB5" s="3">
        <v>0.128</v>
      </c>
      <c r="AC5" s="3">
        <v>0.128</v>
      </c>
      <c r="AD5" s="3">
        <v>0.129</v>
      </c>
      <c r="AE5" s="3">
        <v>0.124</v>
      </c>
      <c r="AF5" s="3">
        <v>0.123</v>
      </c>
      <c r="AG5" s="3">
        <v>0.12</v>
      </c>
      <c r="AH5" s="3">
        <v>0.115</v>
      </c>
      <c r="AI5" s="3">
        <v>0.11700000000000001</v>
      </c>
      <c r="AJ5" s="3">
        <v>0.115</v>
      </c>
      <c r="AK5" s="3">
        <v>0.11700000000000001</v>
      </c>
    </row>
    <row r="6" spans="1:39" x14ac:dyDescent="0.2">
      <c r="A6" s="2">
        <v>1.0879629629629629E-3</v>
      </c>
      <c r="B6" s="3">
        <v>0.13800000000000001</v>
      </c>
      <c r="C6" s="3">
        <v>0.13100000000000001</v>
      </c>
      <c r="D6" s="3">
        <v>0.13</v>
      </c>
      <c r="E6" s="3">
        <v>0.13200000000000001</v>
      </c>
      <c r="F6" s="3">
        <v>0.13500000000000001</v>
      </c>
      <c r="G6" s="3">
        <v>0.13100000000000001</v>
      </c>
      <c r="H6" s="3">
        <v>0.129</v>
      </c>
      <c r="I6" s="3">
        <v>0.129</v>
      </c>
      <c r="J6" s="3">
        <v>0.13400000000000001</v>
      </c>
      <c r="K6" s="3">
        <v>0.13100000000000001</v>
      </c>
      <c r="L6" s="3">
        <v>0.128</v>
      </c>
      <c r="M6" s="3">
        <v>0.13</v>
      </c>
      <c r="N6" s="3">
        <v>0.13100000000000001</v>
      </c>
      <c r="O6" s="3">
        <v>0.13200000000000001</v>
      </c>
      <c r="P6" s="3">
        <v>0.125</v>
      </c>
      <c r="Q6" s="3">
        <v>0.13300000000000001</v>
      </c>
      <c r="R6" s="3">
        <v>0.125</v>
      </c>
      <c r="S6" s="3">
        <v>0.13100000000000001</v>
      </c>
      <c r="T6" s="3">
        <v>0.127</v>
      </c>
      <c r="U6" s="3">
        <v>0.124</v>
      </c>
      <c r="V6" s="3">
        <v>0.13400000000000001</v>
      </c>
      <c r="W6" s="3">
        <v>0.13600000000000001</v>
      </c>
      <c r="X6" s="3">
        <v>0.128</v>
      </c>
      <c r="Y6" s="3">
        <v>0.125</v>
      </c>
      <c r="Z6" s="3">
        <v>0.13200000000000001</v>
      </c>
      <c r="AA6" s="3">
        <v>0.13300000000000001</v>
      </c>
      <c r="AB6" s="3">
        <v>0.128</v>
      </c>
      <c r="AC6" s="3">
        <v>0.129</v>
      </c>
      <c r="AD6" s="3">
        <v>0.13</v>
      </c>
      <c r="AE6" s="3">
        <v>0.125</v>
      </c>
      <c r="AF6" s="3">
        <v>0.124</v>
      </c>
      <c r="AG6" s="3">
        <v>0.121</v>
      </c>
      <c r="AH6" s="3">
        <v>0.11600000000000001</v>
      </c>
      <c r="AI6" s="3">
        <v>0.11700000000000001</v>
      </c>
      <c r="AJ6" s="3">
        <v>0.115</v>
      </c>
      <c r="AK6" s="3">
        <v>0.11700000000000001</v>
      </c>
    </row>
    <row r="7" spans="1:39" x14ac:dyDescent="0.2">
      <c r="A7" s="2">
        <v>1.6319444444444445E-3</v>
      </c>
      <c r="B7" s="3">
        <v>0.13900000000000001</v>
      </c>
      <c r="C7" s="3">
        <v>0.13300000000000001</v>
      </c>
      <c r="D7" s="3">
        <v>0.13100000000000001</v>
      </c>
      <c r="E7" s="3">
        <v>0.13400000000000001</v>
      </c>
      <c r="F7" s="3">
        <v>0.13700000000000001</v>
      </c>
      <c r="G7" s="3">
        <v>0.13200000000000001</v>
      </c>
      <c r="H7" s="3">
        <v>0.13</v>
      </c>
      <c r="I7" s="3">
        <v>0.13</v>
      </c>
      <c r="J7" s="3">
        <v>0.13500000000000001</v>
      </c>
      <c r="K7" s="3">
        <v>0.13200000000000001</v>
      </c>
      <c r="L7" s="3">
        <v>0.129</v>
      </c>
      <c r="M7" s="3">
        <v>0.13</v>
      </c>
      <c r="N7" s="3">
        <v>0.13300000000000001</v>
      </c>
      <c r="O7" s="3">
        <v>0.13300000000000001</v>
      </c>
      <c r="P7" s="3">
        <v>0.127</v>
      </c>
      <c r="Q7" s="3">
        <v>0.13500000000000001</v>
      </c>
      <c r="R7" s="3">
        <v>0.126</v>
      </c>
      <c r="S7" s="3">
        <v>0.13200000000000001</v>
      </c>
      <c r="T7" s="3">
        <v>0.129</v>
      </c>
      <c r="U7" s="3">
        <v>0.125</v>
      </c>
      <c r="V7" s="3">
        <v>0.13600000000000001</v>
      </c>
      <c r="W7" s="3">
        <v>0.13800000000000001</v>
      </c>
      <c r="X7" s="3">
        <v>0.129</v>
      </c>
      <c r="Y7" s="3">
        <v>0.125</v>
      </c>
      <c r="Z7" s="3">
        <v>0.13400000000000001</v>
      </c>
      <c r="AA7" s="3">
        <v>0.13400000000000001</v>
      </c>
      <c r="AB7" s="3">
        <v>0.129</v>
      </c>
      <c r="AC7" s="3">
        <v>0.13</v>
      </c>
      <c r="AD7" s="3">
        <v>0.13100000000000001</v>
      </c>
      <c r="AE7" s="3">
        <v>0.126</v>
      </c>
      <c r="AF7" s="3">
        <v>0.125</v>
      </c>
      <c r="AG7" s="3">
        <v>0.121</v>
      </c>
      <c r="AH7" s="3">
        <v>0.115</v>
      </c>
      <c r="AI7" s="3">
        <v>0.11700000000000001</v>
      </c>
      <c r="AJ7" s="3">
        <v>0.115</v>
      </c>
      <c r="AK7" s="3">
        <v>0.11700000000000001</v>
      </c>
    </row>
    <row r="8" spans="1:39" x14ac:dyDescent="0.2">
      <c r="A8" s="2">
        <v>2.1759259259259258E-3</v>
      </c>
      <c r="B8" s="3">
        <v>0.14000000000000001</v>
      </c>
      <c r="C8" s="3">
        <v>0.13400000000000001</v>
      </c>
      <c r="D8" s="3">
        <v>0.13200000000000001</v>
      </c>
      <c r="E8" s="3">
        <v>0.13400000000000001</v>
      </c>
      <c r="F8" s="3">
        <v>0.13900000000000001</v>
      </c>
      <c r="G8" s="3">
        <v>0.13300000000000001</v>
      </c>
      <c r="H8" s="3">
        <v>0.13</v>
      </c>
      <c r="I8" s="3">
        <v>0.13100000000000001</v>
      </c>
      <c r="J8" s="3">
        <v>0.13700000000000001</v>
      </c>
      <c r="K8" s="3">
        <v>0.13300000000000001</v>
      </c>
      <c r="L8" s="3">
        <v>0.13</v>
      </c>
      <c r="M8" s="3">
        <v>0.13100000000000001</v>
      </c>
      <c r="N8" s="3">
        <v>0.13500000000000001</v>
      </c>
      <c r="O8" s="3">
        <v>0.13400000000000001</v>
      </c>
      <c r="P8" s="3">
        <v>0.129</v>
      </c>
      <c r="Q8" s="3">
        <v>0.13600000000000001</v>
      </c>
      <c r="R8" s="3">
        <v>0.128</v>
      </c>
      <c r="S8" s="3">
        <v>0.13300000000000001</v>
      </c>
      <c r="T8" s="3">
        <v>0.13</v>
      </c>
      <c r="U8" s="3">
        <v>0.125</v>
      </c>
      <c r="V8" s="3">
        <v>0.13700000000000001</v>
      </c>
      <c r="W8" s="3">
        <v>0.13900000000000001</v>
      </c>
      <c r="X8" s="3">
        <v>0.13</v>
      </c>
      <c r="Y8" s="3">
        <v>0.126</v>
      </c>
      <c r="Z8" s="3">
        <v>0.13500000000000001</v>
      </c>
      <c r="AA8" s="3">
        <v>0.13600000000000001</v>
      </c>
      <c r="AB8" s="3">
        <v>0.13</v>
      </c>
      <c r="AC8" s="3">
        <v>0.13100000000000001</v>
      </c>
      <c r="AD8" s="3">
        <v>0.13300000000000001</v>
      </c>
      <c r="AE8" s="3">
        <v>0.127</v>
      </c>
      <c r="AF8" s="3">
        <v>0.126</v>
      </c>
      <c r="AG8" s="3">
        <v>0.123</v>
      </c>
      <c r="AH8" s="3">
        <v>0.115</v>
      </c>
      <c r="AI8" s="3">
        <v>0.11700000000000001</v>
      </c>
      <c r="AJ8" s="3">
        <v>0.115</v>
      </c>
      <c r="AK8" s="3">
        <v>0.11700000000000001</v>
      </c>
    </row>
    <row r="9" spans="1:39" x14ac:dyDescent="0.2">
      <c r="A9" s="2">
        <v>2.7199074074074074E-3</v>
      </c>
      <c r="B9" s="3">
        <v>0.14099999999999999</v>
      </c>
      <c r="C9" s="3">
        <v>0.13600000000000001</v>
      </c>
      <c r="D9" s="3">
        <v>0.13400000000000001</v>
      </c>
      <c r="E9" s="3">
        <v>0.13600000000000001</v>
      </c>
      <c r="F9" s="3">
        <v>0.14099999999999999</v>
      </c>
      <c r="G9" s="3">
        <v>0.13500000000000001</v>
      </c>
      <c r="H9" s="3">
        <v>0.13200000000000001</v>
      </c>
      <c r="I9" s="3">
        <v>0.13300000000000001</v>
      </c>
      <c r="J9" s="3">
        <v>0.14000000000000001</v>
      </c>
      <c r="K9" s="3">
        <v>0.13400000000000001</v>
      </c>
      <c r="L9" s="3">
        <v>0.13100000000000001</v>
      </c>
      <c r="M9" s="3">
        <v>0.13100000000000001</v>
      </c>
      <c r="N9" s="3">
        <v>0.13600000000000001</v>
      </c>
      <c r="O9" s="3">
        <v>0.13500000000000001</v>
      </c>
      <c r="P9" s="3">
        <v>0.13</v>
      </c>
      <c r="Q9" s="3">
        <v>0.13800000000000001</v>
      </c>
      <c r="R9" s="3">
        <v>0.129</v>
      </c>
      <c r="S9" s="3">
        <v>0.13400000000000001</v>
      </c>
      <c r="T9" s="3">
        <v>0.13100000000000001</v>
      </c>
      <c r="U9" s="3">
        <v>0.126</v>
      </c>
      <c r="V9" s="3">
        <v>0.13900000000000001</v>
      </c>
      <c r="W9" s="3">
        <v>0.14000000000000001</v>
      </c>
      <c r="X9" s="3">
        <v>0.13100000000000001</v>
      </c>
      <c r="Y9" s="3">
        <v>0.127</v>
      </c>
      <c r="Z9" s="3">
        <v>0.13700000000000001</v>
      </c>
      <c r="AA9" s="3">
        <v>0.13700000000000001</v>
      </c>
      <c r="AB9" s="3">
        <v>0.13100000000000001</v>
      </c>
      <c r="AC9" s="3">
        <v>0.13200000000000001</v>
      </c>
      <c r="AD9" s="3">
        <v>0.13400000000000001</v>
      </c>
      <c r="AE9" s="3">
        <v>0.128</v>
      </c>
      <c r="AF9" s="3">
        <v>0.127</v>
      </c>
      <c r="AG9" s="3">
        <v>0.123</v>
      </c>
      <c r="AH9" s="3">
        <v>0.115</v>
      </c>
      <c r="AI9" s="3">
        <v>0.11700000000000001</v>
      </c>
      <c r="AJ9" s="3">
        <v>0.115</v>
      </c>
      <c r="AK9" s="3">
        <v>0.11700000000000001</v>
      </c>
    </row>
    <row r="10" spans="1:39" x14ac:dyDescent="0.2">
      <c r="A10" s="2">
        <v>3.2638888888888891E-3</v>
      </c>
      <c r="B10" s="3">
        <v>0.14299999999999999</v>
      </c>
      <c r="C10" s="3">
        <v>0.13800000000000001</v>
      </c>
      <c r="D10" s="3">
        <v>0.13500000000000001</v>
      </c>
      <c r="E10" s="3">
        <v>0.13800000000000001</v>
      </c>
      <c r="F10" s="3">
        <v>0.14199999999999999</v>
      </c>
      <c r="G10" s="3">
        <v>0.13700000000000001</v>
      </c>
      <c r="H10" s="3">
        <v>0.13300000000000001</v>
      </c>
      <c r="I10" s="3">
        <v>0.13400000000000001</v>
      </c>
      <c r="J10" s="3">
        <v>0.14399999999999999</v>
      </c>
      <c r="K10" s="3">
        <v>0.13500000000000001</v>
      </c>
      <c r="L10" s="3">
        <v>0.13300000000000001</v>
      </c>
      <c r="M10" s="3">
        <v>0.13200000000000001</v>
      </c>
      <c r="N10" s="3">
        <v>0.13800000000000001</v>
      </c>
      <c r="O10" s="3">
        <v>0.13700000000000001</v>
      </c>
      <c r="P10" s="3">
        <v>0.13200000000000001</v>
      </c>
      <c r="Q10" s="3">
        <v>0.14000000000000001</v>
      </c>
      <c r="R10" s="3">
        <v>0.13</v>
      </c>
      <c r="S10" s="3">
        <v>0.13600000000000001</v>
      </c>
      <c r="T10" s="3">
        <v>0.13300000000000001</v>
      </c>
      <c r="U10" s="3">
        <v>0.126</v>
      </c>
      <c r="V10" s="3">
        <v>0.14099999999999999</v>
      </c>
      <c r="W10" s="3">
        <v>0.14199999999999999</v>
      </c>
      <c r="X10" s="3">
        <v>0.13200000000000001</v>
      </c>
      <c r="Y10" s="3">
        <v>0.128</v>
      </c>
      <c r="Z10" s="3">
        <v>0.14000000000000001</v>
      </c>
      <c r="AA10" s="3">
        <v>0.13900000000000001</v>
      </c>
      <c r="AB10" s="3">
        <v>0.13200000000000001</v>
      </c>
      <c r="AC10" s="3">
        <v>0.13400000000000001</v>
      </c>
      <c r="AD10" s="3">
        <v>0.13600000000000001</v>
      </c>
      <c r="AE10" s="3">
        <v>0.129</v>
      </c>
      <c r="AF10" s="3">
        <v>0.128</v>
      </c>
      <c r="AG10" s="3">
        <v>0.125</v>
      </c>
      <c r="AH10" s="3">
        <v>0.115</v>
      </c>
      <c r="AI10" s="3">
        <v>0.11700000000000001</v>
      </c>
      <c r="AJ10" s="3">
        <v>0.115</v>
      </c>
      <c r="AK10" s="3">
        <v>0.11600000000000001</v>
      </c>
    </row>
    <row r="11" spans="1:39" x14ac:dyDescent="0.2">
      <c r="A11" s="2">
        <v>3.8078703703703703E-3</v>
      </c>
      <c r="B11" s="3">
        <v>0.14499999999999999</v>
      </c>
      <c r="C11" s="3">
        <v>0.14000000000000001</v>
      </c>
      <c r="D11" s="3">
        <v>0.13700000000000001</v>
      </c>
      <c r="E11" s="3">
        <v>0.13900000000000001</v>
      </c>
      <c r="F11" s="3">
        <v>0.14499999999999999</v>
      </c>
      <c r="G11" s="3">
        <v>0.13900000000000001</v>
      </c>
      <c r="H11" s="3">
        <v>0.13400000000000001</v>
      </c>
      <c r="I11" s="3">
        <v>0.13600000000000001</v>
      </c>
      <c r="J11" s="3">
        <v>0.14299999999999999</v>
      </c>
      <c r="K11" s="3">
        <v>0.13700000000000001</v>
      </c>
      <c r="L11" s="3">
        <v>0.13500000000000001</v>
      </c>
      <c r="M11" s="3">
        <v>0.13200000000000001</v>
      </c>
      <c r="N11" s="3">
        <v>0.14000000000000001</v>
      </c>
      <c r="O11" s="3">
        <v>0.13800000000000001</v>
      </c>
      <c r="P11" s="3">
        <v>0.13400000000000001</v>
      </c>
      <c r="Q11" s="3">
        <v>0.14099999999999999</v>
      </c>
      <c r="R11" s="3">
        <v>0.13200000000000001</v>
      </c>
      <c r="S11" s="3">
        <v>0.13700000000000001</v>
      </c>
      <c r="T11" s="3">
        <v>0.13400000000000001</v>
      </c>
      <c r="U11" s="3">
        <v>0.127</v>
      </c>
      <c r="V11" s="3">
        <v>0.14199999999999999</v>
      </c>
      <c r="W11" s="3">
        <v>0.14399999999999999</v>
      </c>
      <c r="X11" s="3">
        <v>0.13400000000000001</v>
      </c>
      <c r="Y11" s="3">
        <v>0.129</v>
      </c>
      <c r="Z11" s="3">
        <v>0.14199999999999999</v>
      </c>
      <c r="AA11" s="3">
        <v>0.14000000000000001</v>
      </c>
      <c r="AB11" s="3">
        <v>0.13300000000000001</v>
      </c>
      <c r="AC11" s="3">
        <v>0.13500000000000001</v>
      </c>
      <c r="AD11" s="3">
        <v>0.13800000000000001</v>
      </c>
      <c r="AE11" s="3">
        <v>0.13100000000000001</v>
      </c>
      <c r="AF11" s="3">
        <v>0.13</v>
      </c>
      <c r="AG11" s="3">
        <v>0.126</v>
      </c>
      <c r="AH11" s="3">
        <v>0.115</v>
      </c>
      <c r="AI11" s="3">
        <v>0.11600000000000001</v>
      </c>
      <c r="AJ11" s="3">
        <v>0.115</v>
      </c>
      <c r="AK11" s="3">
        <v>0.11600000000000001</v>
      </c>
    </row>
    <row r="12" spans="1:39" x14ac:dyDescent="0.2">
      <c r="A12" s="2">
        <v>4.3518518518518515E-3</v>
      </c>
      <c r="B12" s="3">
        <v>0.14799999999999999</v>
      </c>
      <c r="C12" s="3">
        <v>0.14199999999999999</v>
      </c>
      <c r="D12" s="3">
        <v>0.13900000000000001</v>
      </c>
      <c r="E12" s="3">
        <v>0.14199999999999999</v>
      </c>
      <c r="F12" s="3">
        <v>0.14699999999999999</v>
      </c>
      <c r="G12" s="3">
        <v>0.14099999999999999</v>
      </c>
      <c r="H12" s="3">
        <v>0.13600000000000001</v>
      </c>
      <c r="I12" s="3">
        <v>0.13800000000000001</v>
      </c>
      <c r="J12" s="3">
        <v>0.14499999999999999</v>
      </c>
      <c r="K12" s="3">
        <v>0.13800000000000001</v>
      </c>
      <c r="L12" s="3">
        <v>0.13600000000000001</v>
      </c>
      <c r="M12" s="3">
        <v>0.13300000000000001</v>
      </c>
      <c r="N12" s="3">
        <v>0.14199999999999999</v>
      </c>
      <c r="O12" s="3">
        <v>0.14000000000000001</v>
      </c>
      <c r="P12" s="3">
        <v>0.13600000000000001</v>
      </c>
      <c r="Q12" s="3">
        <v>0.14299999999999999</v>
      </c>
      <c r="R12" s="3">
        <v>0.13400000000000001</v>
      </c>
      <c r="S12" s="3">
        <v>0.13900000000000001</v>
      </c>
      <c r="T12" s="3">
        <v>0.13600000000000001</v>
      </c>
      <c r="U12" s="3">
        <v>0.128</v>
      </c>
      <c r="V12" s="3">
        <v>0.14499999999999999</v>
      </c>
      <c r="W12" s="3">
        <v>0.14699999999999999</v>
      </c>
      <c r="X12" s="3">
        <v>0.13500000000000001</v>
      </c>
      <c r="Y12" s="3">
        <v>0.13</v>
      </c>
      <c r="Z12" s="3">
        <v>0.14499999999999999</v>
      </c>
      <c r="AA12" s="3">
        <v>0.14199999999999999</v>
      </c>
      <c r="AB12" s="3">
        <v>0.13500000000000001</v>
      </c>
      <c r="AC12" s="3">
        <v>0.13600000000000001</v>
      </c>
      <c r="AD12" s="3">
        <v>0.14099999999999999</v>
      </c>
      <c r="AE12" s="3">
        <v>0.13300000000000001</v>
      </c>
      <c r="AF12" s="3">
        <v>0.13100000000000001</v>
      </c>
      <c r="AG12" s="3">
        <v>0.128</v>
      </c>
      <c r="AH12" s="3">
        <v>0.115</v>
      </c>
      <c r="AI12" s="3">
        <v>0.11700000000000001</v>
      </c>
      <c r="AJ12" s="3">
        <v>0.115</v>
      </c>
      <c r="AK12" s="3">
        <v>0.11600000000000001</v>
      </c>
    </row>
    <row r="13" spans="1:39" x14ac:dyDescent="0.2">
      <c r="A13" s="2">
        <v>4.8958333333333336E-3</v>
      </c>
      <c r="B13" s="3">
        <v>0.15</v>
      </c>
      <c r="C13" s="3">
        <v>0.14399999999999999</v>
      </c>
      <c r="D13" s="3">
        <v>0.14099999999999999</v>
      </c>
      <c r="E13" s="3">
        <v>0.14399999999999999</v>
      </c>
      <c r="F13" s="3">
        <v>0.15</v>
      </c>
      <c r="G13" s="3">
        <v>0.14299999999999999</v>
      </c>
      <c r="H13" s="3">
        <v>0.13700000000000001</v>
      </c>
      <c r="I13" s="3">
        <v>0.14000000000000001</v>
      </c>
      <c r="J13" s="3">
        <v>0.14799999999999999</v>
      </c>
      <c r="K13" s="3">
        <v>0.14000000000000001</v>
      </c>
      <c r="L13" s="3">
        <v>0.13800000000000001</v>
      </c>
      <c r="M13" s="3">
        <v>0.13400000000000001</v>
      </c>
      <c r="N13" s="3">
        <v>0.14399999999999999</v>
      </c>
      <c r="O13" s="3">
        <v>0.14199999999999999</v>
      </c>
      <c r="P13" s="3">
        <v>0.13800000000000001</v>
      </c>
      <c r="Q13" s="3">
        <v>0.14499999999999999</v>
      </c>
      <c r="R13" s="3">
        <v>0.13600000000000001</v>
      </c>
      <c r="S13" s="3">
        <v>0.14099999999999999</v>
      </c>
      <c r="T13" s="3">
        <v>0.13800000000000001</v>
      </c>
      <c r="U13" s="3">
        <v>0.129</v>
      </c>
      <c r="V13" s="3">
        <v>0.14699999999999999</v>
      </c>
      <c r="W13" s="3">
        <v>0.14899999999999999</v>
      </c>
      <c r="X13" s="3">
        <v>0.13700000000000001</v>
      </c>
      <c r="Y13" s="3">
        <v>0.13100000000000001</v>
      </c>
      <c r="Z13" s="3">
        <v>0.14799999999999999</v>
      </c>
      <c r="AA13" s="3">
        <v>0.14399999999999999</v>
      </c>
      <c r="AB13" s="3">
        <v>0.13600000000000001</v>
      </c>
      <c r="AC13" s="3">
        <v>0.13800000000000001</v>
      </c>
      <c r="AD13" s="3">
        <v>0.14099999999999999</v>
      </c>
      <c r="AE13" s="3">
        <v>0.13400000000000001</v>
      </c>
      <c r="AF13" s="3">
        <v>0.13300000000000001</v>
      </c>
      <c r="AG13" s="3">
        <v>0.129</v>
      </c>
      <c r="AH13" s="3">
        <v>0.115</v>
      </c>
      <c r="AI13" s="3">
        <v>0.11600000000000001</v>
      </c>
      <c r="AJ13" s="3">
        <v>0.115</v>
      </c>
      <c r="AK13" s="3">
        <v>0.11600000000000001</v>
      </c>
    </row>
    <row r="14" spans="1:39" x14ac:dyDescent="0.2">
      <c r="A14" s="2">
        <v>5.4398148148148149E-3</v>
      </c>
      <c r="B14" s="3">
        <v>0.152</v>
      </c>
      <c r="C14" s="3">
        <v>0.14599999999999999</v>
      </c>
      <c r="D14" s="3">
        <v>0.14199999999999999</v>
      </c>
      <c r="E14" s="3">
        <v>0.14599999999999999</v>
      </c>
      <c r="F14" s="3">
        <v>0.152</v>
      </c>
      <c r="G14" s="3">
        <v>0.14499999999999999</v>
      </c>
      <c r="H14" s="3">
        <v>0.13900000000000001</v>
      </c>
      <c r="I14" s="3">
        <v>0.14099999999999999</v>
      </c>
      <c r="J14" s="3">
        <v>0.15</v>
      </c>
      <c r="K14" s="3">
        <v>0.14099999999999999</v>
      </c>
      <c r="L14" s="3">
        <v>0.14000000000000001</v>
      </c>
      <c r="M14" s="3">
        <v>0.13400000000000001</v>
      </c>
      <c r="N14" s="3">
        <v>0.14699999999999999</v>
      </c>
      <c r="O14" s="3">
        <v>0.14399999999999999</v>
      </c>
      <c r="P14" s="3">
        <v>0.14000000000000001</v>
      </c>
      <c r="Q14" s="3">
        <v>0.14699999999999999</v>
      </c>
      <c r="R14" s="3">
        <v>0.13800000000000001</v>
      </c>
      <c r="S14" s="3">
        <v>0.14299999999999999</v>
      </c>
      <c r="T14" s="3">
        <v>0.14000000000000001</v>
      </c>
      <c r="U14" s="3">
        <v>0.13</v>
      </c>
      <c r="V14" s="3">
        <v>0.15</v>
      </c>
      <c r="W14" s="3">
        <v>0.151</v>
      </c>
      <c r="X14" s="3">
        <v>0.13900000000000001</v>
      </c>
      <c r="Y14" s="3">
        <v>0.13200000000000001</v>
      </c>
      <c r="Z14" s="3">
        <v>0.15</v>
      </c>
      <c r="AA14" s="3">
        <v>0.14599999999999999</v>
      </c>
      <c r="AB14" s="3">
        <v>0.13800000000000001</v>
      </c>
      <c r="AC14" s="3">
        <v>0.14000000000000001</v>
      </c>
      <c r="AD14" s="3">
        <v>0.14399999999999999</v>
      </c>
      <c r="AE14" s="3">
        <v>0.13600000000000001</v>
      </c>
      <c r="AF14" s="3">
        <v>0.13500000000000001</v>
      </c>
      <c r="AG14" s="3">
        <v>0.13</v>
      </c>
      <c r="AH14" s="3">
        <v>0.115</v>
      </c>
      <c r="AI14" s="3">
        <v>0.11600000000000001</v>
      </c>
      <c r="AJ14" s="3">
        <v>0.115</v>
      </c>
      <c r="AK14" s="3">
        <v>0.11600000000000001</v>
      </c>
    </row>
    <row r="15" spans="1:39" x14ac:dyDescent="0.2">
      <c r="A15" s="2">
        <v>5.9837962962962961E-3</v>
      </c>
      <c r="B15" s="3">
        <v>0.155</v>
      </c>
      <c r="C15" s="3">
        <v>0.14899999999999999</v>
      </c>
      <c r="D15" s="3">
        <v>0.14399999999999999</v>
      </c>
      <c r="E15" s="3">
        <v>0.14799999999999999</v>
      </c>
      <c r="F15" s="3">
        <v>0.154</v>
      </c>
      <c r="G15" s="3">
        <v>0.14699999999999999</v>
      </c>
      <c r="H15" s="3">
        <v>0.14099999999999999</v>
      </c>
      <c r="I15" s="3">
        <v>0.14299999999999999</v>
      </c>
      <c r="J15" s="3">
        <v>0.153</v>
      </c>
      <c r="K15" s="3">
        <v>0.14299999999999999</v>
      </c>
      <c r="L15" s="3">
        <v>0.14199999999999999</v>
      </c>
      <c r="M15" s="3">
        <v>0.13600000000000001</v>
      </c>
      <c r="N15" s="3">
        <v>0.14899999999999999</v>
      </c>
      <c r="O15" s="3">
        <v>0.14599999999999999</v>
      </c>
      <c r="P15" s="3">
        <v>0.14199999999999999</v>
      </c>
      <c r="Q15" s="3">
        <v>0.15</v>
      </c>
      <c r="R15" s="3">
        <v>0.14000000000000001</v>
      </c>
      <c r="S15" s="3">
        <v>0.14499999999999999</v>
      </c>
      <c r="T15" s="3">
        <v>0.14199999999999999</v>
      </c>
      <c r="U15" s="3">
        <v>0.13100000000000001</v>
      </c>
      <c r="V15" s="3">
        <v>0.152</v>
      </c>
      <c r="W15" s="3">
        <v>0.154</v>
      </c>
      <c r="X15" s="3">
        <v>0.14000000000000001</v>
      </c>
      <c r="Y15" s="3">
        <v>0.13300000000000001</v>
      </c>
      <c r="Z15" s="3">
        <v>0.153</v>
      </c>
      <c r="AA15" s="3">
        <v>0.14799999999999999</v>
      </c>
      <c r="AB15" s="3">
        <v>0.14000000000000001</v>
      </c>
      <c r="AC15" s="3">
        <v>0.14199999999999999</v>
      </c>
      <c r="AD15" s="3">
        <v>0.14799999999999999</v>
      </c>
      <c r="AE15" s="3">
        <v>0.13800000000000001</v>
      </c>
      <c r="AF15" s="3">
        <v>0.13700000000000001</v>
      </c>
      <c r="AG15" s="3">
        <v>0.13200000000000001</v>
      </c>
      <c r="AH15" s="3">
        <v>0.115</v>
      </c>
      <c r="AI15" s="3">
        <v>0.11600000000000001</v>
      </c>
      <c r="AJ15" s="3">
        <v>0.115</v>
      </c>
      <c r="AK15" s="3">
        <v>0.11600000000000001</v>
      </c>
    </row>
    <row r="16" spans="1:39" x14ac:dyDescent="0.2">
      <c r="A16" s="2">
        <v>6.5277777777777782E-3</v>
      </c>
      <c r="B16" s="3">
        <v>0.158</v>
      </c>
      <c r="C16" s="3">
        <v>0.151</v>
      </c>
      <c r="D16" s="3">
        <v>0.14599999999999999</v>
      </c>
      <c r="E16" s="3">
        <v>0.151</v>
      </c>
      <c r="F16" s="3">
        <v>0.157</v>
      </c>
      <c r="G16" s="3">
        <v>0.14899999999999999</v>
      </c>
      <c r="H16" s="3">
        <v>0.14299999999999999</v>
      </c>
      <c r="I16" s="3">
        <v>0.14499999999999999</v>
      </c>
      <c r="J16" s="3">
        <v>0.155</v>
      </c>
      <c r="K16" s="3">
        <v>0.14499999999999999</v>
      </c>
      <c r="L16" s="3">
        <v>0.14399999999999999</v>
      </c>
      <c r="M16" s="3">
        <v>0.13600000000000001</v>
      </c>
      <c r="N16" s="3">
        <v>0.151</v>
      </c>
      <c r="O16" s="3">
        <v>0.14799999999999999</v>
      </c>
      <c r="P16" s="3">
        <v>0.14499999999999999</v>
      </c>
      <c r="Q16" s="3">
        <v>0.152</v>
      </c>
      <c r="R16" s="3">
        <v>0.14199999999999999</v>
      </c>
      <c r="S16" s="3">
        <v>0.14699999999999999</v>
      </c>
      <c r="T16" s="3">
        <v>0.14399999999999999</v>
      </c>
      <c r="U16" s="3">
        <v>0.13300000000000001</v>
      </c>
      <c r="V16" s="3">
        <v>0.154</v>
      </c>
      <c r="W16" s="3">
        <v>0.156</v>
      </c>
      <c r="X16" s="3">
        <v>0.14199999999999999</v>
      </c>
      <c r="Y16" s="3">
        <v>0.13500000000000001</v>
      </c>
      <c r="Z16" s="3">
        <v>0.156</v>
      </c>
      <c r="AA16" s="3">
        <v>0.151</v>
      </c>
      <c r="AB16" s="3">
        <v>0.14199999999999999</v>
      </c>
      <c r="AC16" s="3">
        <v>0.14399999999999999</v>
      </c>
      <c r="AD16" s="3">
        <v>0.14899999999999999</v>
      </c>
      <c r="AE16" s="3">
        <v>0.13900000000000001</v>
      </c>
      <c r="AF16" s="3">
        <v>0.13900000000000001</v>
      </c>
      <c r="AG16" s="3">
        <v>0.13400000000000001</v>
      </c>
      <c r="AH16" s="3">
        <v>0.115</v>
      </c>
      <c r="AI16" s="3">
        <v>0.11600000000000001</v>
      </c>
      <c r="AJ16" s="3">
        <v>0.115</v>
      </c>
      <c r="AK16" s="3">
        <v>0.11600000000000001</v>
      </c>
    </row>
    <row r="17" spans="1:39" x14ac:dyDescent="0.2">
      <c r="B17">
        <f t="shared" ref="B17:AH17" si="0">SLOPE(B9:B16,$A$9:$A$16)</f>
        <v>4.4206686930091221</v>
      </c>
      <c r="C17">
        <f t="shared" si="0"/>
        <v>3.9392097264437629</v>
      </c>
      <c r="D17">
        <f t="shared" si="0"/>
        <v>3.1951367781154949</v>
      </c>
      <c r="E17">
        <f t="shared" si="0"/>
        <v>3.8954407294832767</v>
      </c>
      <c r="F17">
        <f t="shared" si="0"/>
        <v>4.2893617021276622</v>
      </c>
      <c r="G17">
        <f t="shared" si="0"/>
        <v>3.6765957446808444</v>
      </c>
      <c r="H17">
        <f t="shared" si="0"/>
        <v>2.9106382978723353</v>
      </c>
      <c r="I17">
        <f t="shared" si="0"/>
        <v>3.1951367781154958</v>
      </c>
      <c r="J17">
        <f t="shared" si="0"/>
        <v>3.8079027355623087</v>
      </c>
      <c r="K17">
        <f t="shared" si="0"/>
        <v>2.8668693009118469</v>
      </c>
      <c r="L17">
        <f t="shared" si="0"/>
        <v>3.348328267477199</v>
      </c>
      <c r="M17">
        <f t="shared" si="0"/>
        <v>1.3568389057750772</v>
      </c>
      <c r="N17">
        <f t="shared" si="0"/>
        <v>4.0048632218844924</v>
      </c>
      <c r="O17">
        <f t="shared" si="0"/>
        <v>3.4139817629179259</v>
      </c>
      <c r="P17">
        <f t="shared" si="0"/>
        <v>3.8297872340425485</v>
      </c>
      <c r="Q17">
        <f t="shared" si="0"/>
        <v>3.6765957446808466</v>
      </c>
      <c r="R17">
        <f t="shared" si="0"/>
        <v>3.5234042553191474</v>
      </c>
      <c r="S17">
        <f t="shared" si="0"/>
        <v>3.4139817629179259</v>
      </c>
      <c r="T17">
        <f t="shared" si="0"/>
        <v>3.413981762917929</v>
      </c>
      <c r="U17">
        <f t="shared" si="0"/>
        <v>1.8382978723404269</v>
      </c>
      <c r="V17">
        <f t="shared" si="0"/>
        <v>4.0705167173252272</v>
      </c>
      <c r="W17">
        <f t="shared" si="0"/>
        <v>4.2674772036474158</v>
      </c>
      <c r="X17">
        <f t="shared" si="0"/>
        <v>2.9325227963525817</v>
      </c>
      <c r="Y17">
        <f t="shared" si="0"/>
        <v>1.9914893617021292</v>
      </c>
      <c r="Z17">
        <f t="shared" si="0"/>
        <v>4.9240121580547083</v>
      </c>
      <c r="AA17">
        <f t="shared" si="0"/>
        <v>3.5671732522796291</v>
      </c>
      <c r="AB17">
        <f t="shared" si="0"/>
        <v>2.9106382978723389</v>
      </c>
      <c r="AC17">
        <f t="shared" si="0"/>
        <v>3.085714285714281</v>
      </c>
      <c r="AD17">
        <f t="shared" si="0"/>
        <v>4.0048632218844924</v>
      </c>
      <c r="AE17">
        <f t="shared" si="0"/>
        <v>3.0200607902735581</v>
      </c>
      <c r="AF17">
        <f t="shared" si="0"/>
        <v>3.1951367781155038</v>
      </c>
      <c r="AG17">
        <f t="shared" si="0"/>
        <v>2.7355623100303972</v>
      </c>
      <c r="AH17">
        <f t="shared" si="0"/>
        <v>0</v>
      </c>
      <c r="AI17">
        <f>SLOPE(AI11:AI16,$A$11:$A$16)</f>
        <v>-0.15756838905775092</v>
      </c>
      <c r="AJ17">
        <f>SLOPE(AJ9:AJ16,$A$9:$A$16)</f>
        <v>0</v>
      </c>
      <c r="AK17">
        <f>SLOPE(AK10:AK16,$A$10:$A$16)</f>
        <v>0</v>
      </c>
    </row>
    <row r="18" spans="1:39" x14ac:dyDescent="0.2">
      <c r="A18" t="s">
        <v>43</v>
      </c>
    </row>
    <row r="20" spans="1:39" x14ac:dyDescent="0.2">
      <c r="A20" s="1" t="s">
        <v>0</v>
      </c>
      <c r="B20" s="1" t="s">
        <v>1</v>
      </c>
      <c r="C20" s="1" t="s">
        <v>10</v>
      </c>
      <c r="D20" s="1" t="s">
        <v>19</v>
      </c>
      <c r="E20" s="1" t="s">
        <v>29</v>
      </c>
      <c r="F20" s="1" t="s">
        <v>2</v>
      </c>
      <c r="G20" s="1" t="s">
        <v>11</v>
      </c>
      <c r="H20" s="1" t="s">
        <v>20</v>
      </c>
      <c r="I20" s="1" t="s">
        <v>30</v>
      </c>
      <c r="J20" s="1" t="s">
        <v>3</v>
      </c>
      <c r="K20" s="1" t="s">
        <v>12</v>
      </c>
      <c r="L20" s="1" t="s">
        <v>21</v>
      </c>
      <c r="M20" s="1" t="s">
        <v>31</v>
      </c>
      <c r="N20" s="1" t="s">
        <v>4</v>
      </c>
      <c r="O20" s="1" t="s">
        <v>13</v>
      </c>
      <c r="P20" s="1" t="s">
        <v>22</v>
      </c>
      <c r="Q20" s="1" t="s">
        <v>32</v>
      </c>
      <c r="R20" s="1" t="s">
        <v>5</v>
      </c>
      <c r="S20" s="1" t="s">
        <v>14</v>
      </c>
      <c r="T20" s="1" t="s">
        <v>23</v>
      </c>
      <c r="U20" s="1" t="s">
        <v>33</v>
      </c>
      <c r="V20" s="1" t="s">
        <v>6</v>
      </c>
      <c r="W20" s="1" t="s">
        <v>15</v>
      </c>
      <c r="X20" s="1" t="s">
        <v>24</v>
      </c>
      <c r="Y20" s="1" t="s">
        <v>34</v>
      </c>
      <c r="Z20" s="1" t="s">
        <v>7</v>
      </c>
      <c r="AA20" s="1" t="s">
        <v>16</v>
      </c>
      <c r="AB20" s="1" t="s">
        <v>25</v>
      </c>
      <c r="AC20" s="1" t="s">
        <v>35</v>
      </c>
      <c r="AD20" s="1" t="s">
        <v>8</v>
      </c>
      <c r="AE20" s="1" t="s">
        <v>17</v>
      </c>
      <c r="AF20" s="1" t="s">
        <v>26</v>
      </c>
      <c r="AG20" s="1" t="s">
        <v>36</v>
      </c>
      <c r="AH20" s="1" t="s">
        <v>9</v>
      </c>
      <c r="AI20" s="1" t="s">
        <v>18</v>
      </c>
      <c r="AJ20" s="1" t="s">
        <v>27</v>
      </c>
      <c r="AK20" s="1" t="s">
        <v>37</v>
      </c>
      <c r="AM20" s="21" t="s">
        <v>69</v>
      </c>
    </row>
    <row r="21" spans="1:39" x14ac:dyDescent="0.2">
      <c r="A21" s="2">
        <v>0</v>
      </c>
      <c r="B21" s="3">
        <v>0.13300000000000001</v>
      </c>
      <c r="C21" s="3">
        <v>0.13200000000000001</v>
      </c>
      <c r="D21" s="3">
        <v>0.13100000000000001</v>
      </c>
      <c r="E21" s="3">
        <v>0.13200000000000001</v>
      </c>
      <c r="F21" s="3">
        <v>0.13600000000000001</v>
      </c>
      <c r="G21" s="3">
        <v>0.13100000000000001</v>
      </c>
      <c r="H21" s="3">
        <v>0.128</v>
      </c>
      <c r="I21" s="3">
        <v>0.13300000000000001</v>
      </c>
      <c r="J21" s="3">
        <v>0.13200000000000001</v>
      </c>
      <c r="K21" s="3">
        <v>0.128</v>
      </c>
      <c r="L21" s="3">
        <v>0.128</v>
      </c>
      <c r="M21" s="3">
        <v>0.13</v>
      </c>
      <c r="N21" s="3">
        <v>0.13</v>
      </c>
      <c r="O21" s="3">
        <v>0.13100000000000001</v>
      </c>
      <c r="P21" s="3">
        <v>0.13100000000000001</v>
      </c>
      <c r="Q21" s="3">
        <v>0.13300000000000001</v>
      </c>
      <c r="R21" s="3">
        <v>0.126</v>
      </c>
      <c r="S21" s="3">
        <v>0.129</v>
      </c>
      <c r="T21" s="3">
        <v>0.128</v>
      </c>
      <c r="U21" s="3">
        <v>0.126</v>
      </c>
      <c r="V21" s="3">
        <v>0.13600000000000001</v>
      </c>
      <c r="W21" s="3">
        <v>0.13700000000000001</v>
      </c>
      <c r="X21" s="3">
        <v>0.129</v>
      </c>
      <c r="Y21" s="3">
        <v>0.126</v>
      </c>
      <c r="Z21" s="3">
        <v>0.13400000000000001</v>
      </c>
      <c r="AA21" s="3">
        <v>0.13400000000000001</v>
      </c>
      <c r="AB21" s="3">
        <v>0.13</v>
      </c>
      <c r="AC21" s="3">
        <v>0.13</v>
      </c>
      <c r="AD21" s="3">
        <v>0.126</v>
      </c>
      <c r="AE21" s="3">
        <v>0.129</v>
      </c>
      <c r="AF21" s="3">
        <v>0.126</v>
      </c>
      <c r="AG21" s="3">
        <v>0.127</v>
      </c>
      <c r="AH21" s="3">
        <v>0.115</v>
      </c>
      <c r="AI21" s="3">
        <v>0.11700000000000001</v>
      </c>
      <c r="AJ21" s="3">
        <v>0.114</v>
      </c>
      <c r="AK21" s="3">
        <v>0.11799999999999999</v>
      </c>
      <c r="AM21">
        <f>AVERAGE(AH34:AK34)</f>
        <v>-8.2066869300911907E-2</v>
      </c>
    </row>
    <row r="22" spans="1:39" x14ac:dyDescent="0.2">
      <c r="A22" s="2">
        <v>5.4398148148148144E-4</v>
      </c>
      <c r="B22" s="3">
        <v>0.13400000000000001</v>
      </c>
      <c r="C22" s="3">
        <v>0.13300000000000001</v>
      </c>
      <c r="D22" s="3">
        <v>0.13300000000000001</v>
      </c>
      <c r="E22" s="3">
        <v>0.13300000000000001</v>
      </c>
      <c r="F22" s="3">
        <v>0.13700000000000001</v>
      </c>
      <c r="G22" s="3">
        <v>0.13400000000000001</v>
      </c>
      <c r="H22" s="3">
        <v>0.129</v>
      </c>
      <c r="I22" s="3">
        <v>0.13300000000000001</v>
      </c>
      <c r="J22" s="3">
        <v>0.13300000000000001</v>
      </c>
      <c r="K22" s="3">
        <v>0.129</v>
      </c>
      <c r="L22" s="3">
        <v>0.129</v>
      </c>
      <c r="M22" s="3">
        <v>0.13100000000000001</v>
      </c>
      <c r="N22" s="3">
        <v>0.13100000000000001</v>
      </c>
      <c r="O22" s="3">
        <v>0.13200000000000001</v>
      </c>
      <c r="P22" s="3">
        <v>0.13100000000000001</v>
      </c>
      <c r="Q22" s="3">
        <v>0.13500000000000001</v>
      </c>
      <c r="R22" s="3">
        <v>0.126</v>
      </c>
      <c r="S22" s="3">
        <v>0.13</v>
      </c>
      <c r="T22" s="3">
        <v>0.129</v>
      </c>
      <c r="U22" s="3">
        <v>0.127</v>
      </c>
      <c r="V22" s="3">
        <v>0.13600000000000001</v>
      </c>
      <c r="W22" s="3">
        <v>0.13800000000000001</v>
      </c>
      <c r="X22" s="3">
        <v>0.129</v>
      </c>
      <c r="Y22" s="3">
        <v>0.127</v>
      </c>
      <c r="Z22" s="3">
        <v>0.13500000000000001</v>
      </c>
      <c r="AA22" s="3">
        <v>0.13500000000000001</v>
      </c>
      <c r="AB22" s="3">
        <v>0.13</v>
      </c>
      <c r="AC22" s="3">
        <v>0.13</v>
      </c>
      <c r="AD22" s="3">
        <v>0.127</v>
      </c>
      <c r="AE22" s="3">
        <v>0.13</v>
      </c>
      <c r="AF22" s="3">
        <v>0.127</v>
      </c>
      <c r="AG22" s="3">
        <v>0.128</v>
      </c>
      <c r="AH22" s="3">
        <v>0.115</v>
      </c>
      <c r="AI22" s="3">
        <v>0.11700000000000001</v>
      </c>
      <c r="AJ22" s="3">
        <v>0.113</v>
      </c>
      <c r="AK22" s="3">
        <v>0.11799999999999999</v>
      </c>
    </row>
    <row r="23" spans="1:39" x14ac:dyDescent="0.2">
      <c r="A23" s="2">
        <v>1.0879629629629629E-3</v>
      </c>
      <c r="B23" s="3">
        <v>0.13500000000000001</v>
      </c>
      <c r="C23" s="3">
        <v>0.13500000000000001</v>
      </c>
      <c r="D23" s="3">
        <v>0.13400000000000001</v>
      </c>
      <c r="E23" s="3">
        <v>0.13400000000000001</v>
      </c>
      <c r="F23" s="3">
        <v>0.13900000000000001</v>
      </c>
      <c r="G23" s="3">
        <v>0.13400000000000001</v>
      </c>
      <c r="H23" s="3">
        <v>0.13</v>
      </c>
      <c r="I23" s="3">
        <v>0.13400000000000001</v>
      </c>
      <c r="J23" s="3">
        <v>0.13400000000000001</v>
      </c>
      <c r="K23" s="3">
        <v>0.13</v>
      </c>
      <c r="L23" s="3">
        <v>0.13</v>
      </c>
      <c r="M23" s="3">
        <v>0.13100000000000001</v>
      </c>
      <c r="N23" s="3">
        <v>0.13300000000000001</v>
      </c>
      <c r="O23" s="3">
        <v>0.13200000000000001</v>
      </c>
      <c r="P23" s="3">
        <v>0.13300000000000001</v>
      </c>
      <c r="Q23" s="3">
        <v>0.13600000000000001</v>
      </c>
      <c r="R23" s="3">
        <v>0.127</v>
      </c>
      <c r="S23" s="3">
        <v>0.13100000000000001</v>
      </c>
      <c r="T23" s="3">
        <v>0.13</v>
      </c>
      <c r="U23" s="3">
        <v>0.127</v>
      </c>
      <c r="V23" s="3">
        <v>0.13800000000000001</v>
      </c>
      <c r="W23" s="3">
        <v>0.13800000000000001</v>
      </c>
      <c r="X23" s="3">
        <v>0.13</v>
      </c>
      <c r="Y23" s="3">
        <v>0.127</v>
      </c>
      <c r="Z23" s="3">
        <v>0.13700000000000001</v>
      </c>
      <c r="AA23" s="3">
        <v>0.13700000000000001</v>
      </c>
      <c r="AB23" s="3">
        <v>0.13100000000000001</v>
      </c>
      <c r="AC23" s="3">
        <v>0.13100000000000001</v>
      </c>
      <c r="AD23" s="3">
        <v>0.129</v>
      </c>
      <c r="AE23" s="3">
        <v>0.13100000000000001</v>
      </c>
      <c r="AF23" s="3">
        <v>0.128</v>
      </c>
      <c r="AG23" s="3">
        <v>0.129</v>
      </c>
      <c r="AH23" s="3">
        <v>0.11600000000000001</v>
      </c>
      <c r="AI23" s="3">
        <v>0.11799999999999999</v>
      </c>
      <c r="AJ23" s="3">
        <v>0.114</v>
      </c>
      <c r="AK23" s="3">
        <v>0.11700000000000001</v>
      </c>
    </row>
    <row r="24" spans="1:39" x14ac:dyDescent="0.2">
      <c r="A24" s="2">
        <v>1.6319444444444445E-3</v>
      </c>
      <c r="B24" s="3">
        <v>0.13600000000000001</v>
      </c>
      <c r="C24" s="3">
        <v>0.13600000000000001</v>
      </c>
      <c r="D24" s="3">
        <v>0.13500000000000001</v>
      </c>
      <c r="E24" s="3">
        <v>0.13500000000000001</v>
      </c>
      <c r="F24" s="3">
        <v>0.14000000000000001</v>
      </c>
      <c r="G24" s="3">
        <v>0.13500000000000001</v>
      </c>
      <c r="H24" s="3">
        <v>0.13100000000000001</v>
      </c>
      <c r="I24" s="3">
        <v>0.13500000000000001</v>
      </c>
      <c r="J24" s="3">
        <v>0.13600000000000001</v>
      </c>
      <c r="K24" s="3">
        <v>0.13100000000000001</v>
      </c>
      <c r="L24" s="3">
        <v>0.13100000000000001</v>
      </c>
      <c r="M24" s="3">
        <v>0.13200000000000001</v>
      </c>
      <c r="N24" s="3">
        <v>0.13500000000000001</v>
      </c>
      <c r="O24" s="3">
        <v>0.13400000000000001</v>
      </c>
      <c r="P24" s="3">
        <v>0.13400000000000001</v>
      </c>
      <c r="Q24" s="3">
        <v>0.13700000000000001</v>
      </c>
      <c r="R24" s="3">
        <v>0.129</v>
      </c>
      <c r="S24" s="3">
        <v>0.13200000000000001</v>
      </c>
      <c r="T24" s="3">
        <v>0.13100000000000001</v>
      </c>
      <c r="U24" s="3">
        <v>0.127</v>
      </c>
      <c r="V24" s="3">
        <v>0.14000000000000001</v>
      </c>
      <c r="W24" s="3">
        <v>0.14000000000000001</v>
      </c>
      <c r="X24" s="3">
        <v>0.13100000000000001</v>
      </c>
      <c r="Y24" s="3">
        <v>0.128</v>
      </c>
      <c r="Z24" s="3">
        <v>0.13800000000000001</v>
      </c>
      <c r="AA24" s="3">
        <v>0.13800000000000001</v>
      </c>
      <c r="AB24" s="3">
        <v>0.13200000000000001</v>
      </c>
      <c r="AC24" s="3">
        <v>0.13200000000000001</v>
      </c>
      <c r="AD24" s="3">
        <v>0.13</v>
      </c>
      <c r="AE24" s="3">
        <v>0.13200000000000001</v>
      </c>
      <c r="AF24" s="3">
        <v>0.129</v>
      </c>
      <c r="AG24" s="3">
        <v>0.129</v>
      </c>
      <c r="AH24" s="3">
        <v>0.11700000000000001</v>
      </c>
      <c r="AI24" s="3">
        <v>0.11700000000000001</v>
      </c>
      <c r="AJ24" s="3">
        <v>0.114</v>
      </c>
      <c r="AK24" s="3">
        <v>0.11700000000000001</v>
      </c>
    </row>
    <row r="25" spans="1:39" x14ac:dyDescent="0.2">
      <c r="A25" s="2">
        <v>2.1759259259259258E-3</v>
      </c>
      <c r="B25" s="3">
        <v>0.13800000000000001</v>
      </c>
      <c r="C25" s="3">
        <v>0.13800000000000001</v>
      </c>
      <c r="D25" s="3">
        <v>0.14000000000000001</v>
      </c>
      <c r="E25" s="3">
        <v>0.13700000000000001</v>
      </c>
      <c r="F25" s="3">
        <v>0.14199999999999999</v>
      </c>
      <c r="G25" s="3">
        <v>0.13700000000000001</v>
      </c>
      <c r="H25" s="3">
        <v>0.13200000000000001</v>
      </c>
      <c r="I25" s="3">
        <v>0.13600000000000001</v>
      </c>
      <c r="J25" s="3">
        <v>0.13800000000000001</v>
      </c>
      <c r="K25" s="3">
        <v>0.13200000000000001</v>
      </c>
      <c r="L25" s="3">
        <v>0.13200000000000001</v>
      </c>
      <c r="M25" s="3">
        <v>0.13300000000000001</v>
      </c>
      <c r="N25" s="3">
        <v>0.13600000000000001</v>
      </c>
      <c r="O25" s="3">
        <v>0.13500000000000001</v>
      </c>
      <c r="P25" s="3">
        <v>0.13600000000000001</v>
      </c>
      <c r="Q25" s="3">
        <v>0.13800000000000001</v>
      </c>
      <c r="R25" s="3">
        <v>0.13</v>
      </c>
      <c r="S25" s="3">
        <v>0.13400000000000001</v>
      </c>
      <c r="T25" s="3">
        <v>0.13200000000000001</v>
      </c>
      <c r="U25" s="3">
        <v>0.128</v>
      </c>
      <c r="V25" s="3">
        <v>0.14099999999999999</v>
      </c>
      <c r="W25" s="3">
        <v>0.14099999999999999</v>
      </c>
      <c r="X25" s="3">
        <v>0.13200000000000001</v>
      </c>
      <c r="Y25" s="3">
        <v>0.129</v>
      </c>
      <c r="Z25" s="3">
        <v>0.14000000000000001</v>
      </c>
      <c r="AA25" s="3">
        <v>0.13900000000000001</v>
      </c>
      <c r="AB25" s="3">
        <v>0.13300000000000001</v>
      </c>
      <c r="AC25" s="3">
        <v>0.13300000000000001</v>
      </c>
      <c r="AD25" s="3">
        <v>0.13100000000000001</v>
      </c>
      <c r="AE25" s="3">
        <v>0.13300000000000001</v>
      </c>
      <c r="AF25" s="3">
        <v>0.13</v>
      </c>
      <c r="AG25" s="3">
        <v>0.13100000000000001</v>
      </c>
      <c r="AH25" s="3">
        <v>0.11700000000000001</v>
      </c>
      <c r="AI25" s="3">
        <v>0.11700000000000001</v>
      </c>
      <c r="AJ25" s="3">
        <v>0.114</v>
      </c>
      <c r="AK25" s="3">
        <v>0.11700000000000001</v>
      </c>
    </row>
    <row r="26" spans="1:39" x14ac:dyDescent="0.2">
      <c r="A26" s="2">
        <v>2.7199074074074074E-3</v>
      </c>
      <c r="B26" s="3">
        <v>0.14000000000000001</v>
      </c>
      <c r="C26" s="3">
        <v>0.14000000000000001</v>
      </c>
      <c r="D26" s="3">
        <v>0.13700000000000001</v>
      </c>
      <c r="E26" s="3">
        <v>0.13900000000000001</v>
      </c>
      <c r="F26" s="3">
        <v>0.14399999999999999</v>
      </c>
      <c r="G26" s="3">
        <v>0.13800000000000001</v>
      </c>
      <c r="H26" s="3">
        <v>0.13300000000000001</v>
      </c>
      <c r="I26" s="3">
        <v>0.13800000000000001</v>
      </c>
      <c r="J26" s="3">
        <v>0.14000000000000001</v>
      </c>
      <c r="K26" s="3">
        <v>0.13300000000000001</v>
      </c>
      <c r="L26" s="3">
        <v>0.13400000000000001</v>
      </c>
      <c r="M26" s="3">
        <v>0.13300000000000001</v>
      </c>
      <c r="N26" s="3">
        <v>0.13900000000000001</v>
      </c>
      <c r="O26" s="3">
        <v>0.13700000000000001</v>
      </c>
      <c r="P26" s="3">
        <v>0.13700000000000001</v>
      </c>
      <c r="Q26" s="3">
        <v>0.14000000000000001</v>
      </c>
      <c r="R26" s="3">
        <v>0.13100000000000001</v>
      </c>
      <c r="S26" s="3">
        <v>0.13500000000000001</v>
      </c>
      <c r="T26" s="3">
        <v>0.13400000000000001</v>
      </c>
      <c r="U26" s="3">
        <v>0.129</v>
      </c>
      <c r="V26" s="3">
        <v>0.14299999999999999</v>
      </c>
      <c r="W26" s="3">
        <v>0.14299999999999999</v>
      </c>
      <c r="X26" s="3">
        <v>0.13300000000000001</v>
      </c>
      <c r="Y26" s="3">
        <v>0.13</v>
      </c>
      <c r="Z26" s="3">
        <v>0.14199999999999999</v>
      </c>
      <c r="AA26" s="3">
        <v>0.14099999999999999</v>
      </c>
      <c r="AB26" s="3">
        <v>0.13500000000000001</v>
      </c>
      <c r="AC26" s="3">
        <v>0.13400000000000001</v>
      </c>
      <c r="AD26" s="3">
        <v>0.13300000000000001</v>
      </c>
      <c r="AE26" s="3">
        <v>0.13400000000000001</v>
      </c>
      <c r="AF26" s="3">
        <v>0.13100000000000001</v>
      </c>
      <c r="AG26" s="3">
        <v>0.13200000000000001</v>
      </c>
      <c r="AH26" s="3">
        <v>0.11700000000000001</v>
      </c>
      <c r="AI26" s="3">
        <v>0.11700000000000001</v>
      </c>
      <c r="AJ26" s="3">
        <v>0.114</v>
      </c>
      <c r="AK26" s="3">
        <v>0.11799999999999999</v>
      </c>
    </row>
    <row r="27" spans="1:39" x14ac:dyDescent="0.2">
      <c r="A27" s="2">
        <v>3.2638888888888891E-3</v>
      </c>
      <c r="B27" s="3">
        <v>0.14099999999999999</v>
      </c>
      <c r="C27" s="3">
        <v>0.14199999999999999</v>
      </c>
      <c r="D27" s="3">
        <v>0.14099999999999999</v>
      </c>
      <c r="E27" s="3">
        <v>0.14099999999999999</v>
      </c>
      <c r="F27" s="3">
        <v>0.14599999999999999</v>
      </c>
      <c r="G27" s="3">
        <v>0.14000000000000001</v>
      </c>
      <c r="H27" s="3">
        <v>0.13400000000000001</v>
      </c>
      <c r="I27" s="3">
        <v>0.13900000000000001</v>
      </c>
      <c r="J27" s="3">
        <v>0.14199999999999999</v>
      </c>
      <c r="K27" s="3">
        <v>0.13400000000000001</v>
      </c>
      <c r="L27" s="3">
        <v>0.13500000000000001</v>
      </c>
      <c r="M27" s="3">
        <v>0.13400000000000001</v>
      </c>
      <c r="N27" s="3">
        <v>0.14000000000000001</v>
      </c>
      <c r="O27" s="3">
        <v>0.13800000000000001</v>
      </c>
      <c r="P27" s="3">
        <v>0.13900000000000001</v>
      </c>
      <c r="Q27" s="3">
        <v>0.14199999999999999</v>
      </c>
      <c r="R27" s="3">
        <v>0.13300000000000001</v>
      </c>
      <c r="S27" s="3">
        <v>0.13700000000000001</v>
      </c>
      <c r="T27" s="3">
        <v>0.13500000000000001</v>
      </c>
      <c r="U27" s="3">
        <v>0.129</v>
      </c>
      <c r="V27" s="3">
        <v>0.14499999999999999</v>
      </c>
      <c r="W27" s="3">
        <v>0.14399999999999999</v>
      </c>
      <c r="X27" s="3">
        <v>0.13400000000000001</v>
      </c>
      <c r="Y27" s="3">
        <v>0.13100000000000001</v>
      </c>
      <c r="Z27" s="3">
        <v>0.14499999999999999</v>
      </c>
      <c r="AA27" s="3">
        <v>0.14299999999999999</v>
      </c>
      <c r="AB27" s="3">
        <v>0.13600000000000001</v>
      </c>
      <c r="AC27" s="3">
        <v>0.13600000000000001</v>
      </c>
      <c r="AD27" s="3">
        <v>0.13500000000000001</v>
      </c>
      <c r="AE27" s="3">
        <v>0.13600000000000001</v>
      </c>
      <c r="AF27" s="3">
        <v>0.13200000000000001</v>
      </c>
      <c r="AG27" s="3">
        <v>0.13300000000000001</v>
      </c>
      <c r="AH27" s="3">
        <v>0.11600000000000001</v>
      </c>
      <c r="AI27" s="3">
        <v>0.11700000000000001</v>
      </c>
      <c r="AJ27" s="3">
        <v>0.114</v>
      </c>
      <c r="AK27" s="3">
        <v>0.11700000000000001</v>
      </c>
    </row>
    <row r="28" spans="1:39" x14ac:dyDescent="0.2">
      <c r="A28" s="2">
        <v>3.8078703703703703E-3</v>
      </c>
      <c r="B28" s="3">
        <v>0.14399999999999999</v>
      </c>
      <c r="C28" s="3">
        <v>0.14399999999999999</v>
      </c>
      <c r="D28" s="3">
        <v>0.14099999999999999</v>
      </c>
      <c r="E28" s="3">
        <v>0.14299999999999999</v>
      </c>
      <c r="F28" s="3">
        <v>0.14899999999999999</v>
      </c>
      <c r="G28" s="3">
        <v>0.14199999999999999</v>
      </c>
      <c r="H28" s="3">
        <v>0.13600000000000001</v>
      </c>
      <c r="I28" s="3">
        <v>0.14099999999999999</v>
      </c>
      <c r="J28" s="3">
        <v>0.14399999999999999</v>
      </c>
      <c r="K28" s="3">
        <v>0.13500000000000001</v>
      </c>
      <c r="L28" s="3">
        <v>0.13700000000000001</v>
      </c>
      <c r="M28" s="3">
        <v>0.13500000000000001</v>
      </c>
      <c r="N28" s="3">
        <v>0.14199999999999999</v>
      </c>
      <c r="O28" s="3">
        <v>0.14000000000000001</v>
      </c>
      <c r="P28" s="3">
        <v>0.14099999999999999</v>
      </c>
      <c r="Q28" s="3">
        <v>0.14399999999999999</v>
      </c>
      <c r="R28" s="3">
        <v>0.13600000000000001</v>
      </c>
      <c r="S28" s="3">
        <v>0.13900000000000001</v>
      </c>
      <c r="T28" s="3">
        <v>0.13700000000000001</v>
      </c>
      <c r="U28" s="3">
        <v>0.13</v>
      </c>
      <c r="V28" s="3">
        <v>0.14699999999999999</v>
      </c>
      <c r="W28" s="3">
        <v>0.14599999999999999</v>
      </c>
      <c r="X28" s="3">
        <v>0.13600000000000001</v>
      </c>
      <c r="Y28" s="3">
        <v>0.13200000000000001</v>
      </c>
      <c r="Z28" s="3">
        <v>0.14699999999999999</v>
      </c>
      <c r="AA28" s="3">
        <v>0.14499999999999999</v>
      </c>
      <c r="AB28" s="3">
        <v>0.13700000000000001</v>
      </c>
      <c r="AC28" s="3">
        <v>0.13700000000000001</v>
      </c>
      <c r="AD28" s="3">
        <v>0.13700000000000001</v>
      </c>
      <c r="AE28" s="3">
        <v>0.13700000000000001</v>
      </c>
      <c r="AF28" s="3">
        <v>0.13400000000000001</v>
      </c>
      <c r="AG28" s="3">
        <v>0.13400000000000001</v>
      </c>
      <c r="AH28" s="3">
        <v>0.11600000000000001</v>
      </c>
      <c r="AI28" s="3">
        <v>0.11700000000000001</v>
      </c>
      <c r="AJ28" s="3">
        <v>0.114</v>
      </c>
      <c r="AK28" s="3">
        <v>0.11700000000000001</v>
      </c>
    </row>
    <row r="29" spans="1:39" x14ac:dyDescent="0.2">
      <c r="A29" s="2">
        <v>4.3518518518518515E-3</v>
      </c>
      <c r="B29" s="3">
        <v>0.14599999999999999</v>
      </c>
      <c r="C29" s="3">
        <v>0.14599999999999999</v>
      </c>
      <c r="D29" s="3">
        <v>0.14299999999999999</v>
      </c>
      <c r="E29" s="3">
        <v>0.14499999999999999</v>
      </c>
      <c r="F29" s="3">
        <v>0.151</v>
      </c>
      <c r="G29" s="3">
        <v>0.14399999999999999</v>
      </c>
      <c r="H29" s="3">
        <v>0.13700000000000001</v>
      </c>
      <c r="I29" s="3">
        <v>0.14299999999999999</v>
      </c>
      <c r="J29" s="3">
        <v>0.14599999999999999</v>
      </c>
      <c r="K29" s="3">
        <v>0.13600000000000001</v>
      </c>
      <c r="L29" s="3">
        <v>0.13900000000000001</v>
      </c>
      <c r="M29" s="3">
        <v>0.13600000000000001</v>
      </c>
      <c r="N29" s="3">
        <v>0.14499999999999999</v>
      </c>
      <c r="O29" s="3">
        <v>0.14099999999999999</v>
      </c>
      <c r="P29" s="3">
        <v>0.14399999999999999</v>
      </c>
      <c r="Q29" s="3">
        <v>0.14599999999999999</v>
      </c>
      <c r="R29" s="3">
        <v>0.13700000000000001</v>
      </c>
      <c r="S29" s="3">
        <v>0.14099999999999999</v>
      </c>
      <c r="T29" s="3">
        <v>0.13900000000000001</v>
      </c>
      <c r="U29" s="3">
        <v>0.13100000000000001</v>
      </c>
      <c r="V29" s="3">
        <v>0.14899999999999999</v>
      </c>
      <c r="W29" s="3">
        <v>0.14899999999999999</v>
      </c>
      <c r="X29" s="3">
        <v>0.13700000000000001</v>
      </c>
      <c r="Y29" s="3">
        <v>0.13300000000000001</v>
      </c>
      <c r="Z29" s="3">
        <v>0.15</v>
      </c>
      <c r="AA29" s="3">
        <v>0.14699999999999999</v>
      </c>
      <c r="AB29" s="3">
        <v>0.13900000000000001</v>
      </c>
      <c r="AC29" s="3">
        <v>0.13800000000000001</v>
      </c>
      <c r="AD29" s="3">
        <v>0.13900000000000001</v>
      </c>
      <c r="AE29" s="3">
        <v>0.13900000000000001</v>
      </c>
      <c r="AF29" s="3">
        <v>0.13500000000000001</v>
      </c>
      <c r="AG29" s="3">
        <v>0.13500000000000001</v>
      </c>
      <c r="AH29" s="3">
        <v>0.115</v>
      </c>
      <c r="AI29" s="3">
        <v>0.11700000000000001</v>
      </c>
      <c r="AJ29" s="3">
        <v>0.114</v>
      </c>
      <c r="AK29" s="3">
        <v>0.11700000000000001</v>
      </c>
    </row>
    <row r="30" spans="1:39" x14ac:dyDescent="0.2">
      <c r="A30" s="2">
        <v>4.8958333333333336E-3</v>
      </c>
      <c r="B30" s="3">
        <v>0.14799999999999999</v>
      </c>
      <c r="C30" s="3">
        <v>0.14899999999999999</v>
      </c>
      <c r="D30" s="3">
        <v>0.14499999999999999</v>
      </c>
      <c r="E30" s="3">
        <v>0.14799999999999999</v>
      </c>
      <c r="F30" s="3">
        <v>0.153</v>
      </c>
      <c r="G30" s="3">
        <v>0.14599999999999999</v>
      </c>
      <c r="H30" s="3">
        <v>0.13900000000000001</v>
      </c>
      <c r="I30" s="3">
        <v>0.14399999999999999</v>
      </c>
      <c r="J30" s="3">
        <v>0.14899999999999999</v>
      </c>
      <c r="K30" s="3">
        <v>0.13800000000000001</v>
      </c>
      <c r="L30" s="3">
        <v>0.14000000000000001</v>
      </c>
      <c r="M30" s="3">
        <v>0.13700000000000001</v>
      </c>
      <c r="N30" s="3">
        <v>0.14699999999999999</v>
      </c>
      <c r="O30" s="3">
        <v>0.14299999999999999</v>
      </c>
      <c r="P30" s="3">
        <v>0.14599999999999999</v>
      </c>
      <c r="Q30" s="3">
        <v>0.14799999999999999</v>
      </c>
      <c r="R30" s="3">
        <v>0.13900000000000001</v>
      </c>
      <c r="S30" s="3">
        <v>0.14299999999999999</v>
      </c>
      <c r="T30" s="3">
        <v>0.14099999999999999</v>
      </c>
      <c r="U30" s="3">
        <v>0.13200000000000001</v>
      </c>
      <c r="V30" s="3">
        <v>0.151</v>
      </c>
      <c r="W30" s="3">
        <v>0.151</v>
      </c>
      <c r="X30" s="3">
        <v>0.13800000000000001</v>
      </c>
      <c r="Y30" s="3">
        <v>0.13400000000000001</v>
      </c>
      <c r="Z30" s="3">
        <v>0.153</v>
      </c>
      <c r="AA30" s="3">
        <v>0.14899999999999999</v>
      </c>
      <c r="AB30" s="3">
        <v>0.14099999999999999</v>
      </c>
      <c r="AC30" s="3">
        <v>0.14099999999999999</v>
      </c>
      <c r="AD30" s="3">
        <v>0.14099999999999999</v>
      </c>
      <c r="AE30" s="3">
        <v>0.14099999999999999</v>
      </c>
      <c r="AF30" s="3">
        <v>0.13800000000000001</v>
      </c>
      <c r="AG30" s="3">
        <v>0.13700000000000001</v>
      </c>
      <c r="AH30" s="3">
        <v>0.11600000000000001</v>
      </c>
      <c r="AI30" s="3">
        <v>0.11700000000000001</v>
      </c>
      <c r="AJ30" s="3">
        <v>0.114</v>
      </c>
      <c r="AK30" s="3">
        <v>0.11700000000000001</v>
      </c>
    </row>
    <row r="31" spans="1:39" x14ac:dyDescent="0.2">
      <c r="A31" s="2">
        <v>5.4398148148148149E-3</v>
      </c>
      <c r="B31" s="3">
        <v>0.15</v>
      </c>
      <c r="C31" s="3">
        <v>0.152</v>
      </c>
      <c r="D31" s="3">
        <v>0.14699999999999999</v>
      </c>
      <c r="E31" s="3">
        <v>0.15</v>
      </c>
      <c r="F31" s="3">
        <v>0.156</v>
      </c>
      <c r="G31" s="3">
        <v>0.14899999999999999</v>
      </c>
      <c r="H31" s="3">
        <v>0.14099999999999999</v>
      </c>
      <c r="I31" s="3">
        <v>0.14699999999999999</v>
      </c>
      <c r="J31" s="3">
        <v>0.151</v>
      </c>
      <c r="K31" s="3">
        <v>0.14000000000000001</v>
      </c>
      <c r="L31" s="3">
        <v>0.14199999999999999</v>
      </c>
      <c r="M31" s="3">
        <v>0.13700000000000001</v>
      </c>
      <c r="N31" s="3">
        <v>0.15</v>
      </c>
      <c r="O31" s="3">
        <v>0.14499999999999999</v>
      </c>
      <c r="P31" s="3">
        <v>0.14799999999999999</v>
      </c>
      <c r="Q31" s="3">
        <v>0.15</v>
      </c>
      <c r="R31" s="3">
        <v>0.14099999999999999</v>
      </c>
      <c r="S31" s="3">
        <v>0.14499999999999999</v>
      </c>
      <c r="T31" s="3">
        <v>0.14299999999999999</v>
      </c>
      <c r="U31" s="3">
        <v>0.13300000000000001</v>
      </c>
      <c r="V31" s="3">
        <v>0.153</v>
      </c>
      <c r="W31" s="3">
        <v>0.153</v>
      </c>
      <c r="X31" s="3">
        <v>0.14000000000000001</v>
      </c>
      <c r="Y31" s="3">
        <v>0.13500000000000001</v>
      </c>
      <c r="Z31" s="3">
        <v>0.156</v>
      </c>
      <c r="AA31" s="3">
        <v>0.151</v>
      </c>
      <c r="AB31" s="3">
        <v>0.14199999999999999</v>
      </c>
      <c r="AC31" s="3">
        <v>0.14199999999999999</v>
      </c>
      <c r="AD31" s="3">
        <v>0.14299999999999999</v>
      </c>
      <c r="AE31" s="3">
        <v>0.14199999999999999</v>
      </c>
      <c r="AF31" s="3">
        <v>0.13900000000000001</v>
      </c>
      <c r="AG31" s="3">
        <v>0.13900000000000001</v>
      </c>
      <c r="AH31" s="3">
        <v>0.115</v>
      </c>
      <c r="AI31" s="3">
        <v>0.11700000000000001</v>
      </c>
      <c r="AJ31" s="3">
        <v>0.114</v>
      </c>
      <c r="AK31" s="3">
        <v>0.11700000000000001</v>
      </c>
    </row>
    <row r="32" spans="1:39" x14ac:dyDescent="0.2">
      <c r="A32" s="2">
        <v>5.9837962962962961E-3</v>
      </c>
      <c r="B32" s="3">
        <v>0.153</v>
      </c>
      <c r="C32" s="3">
        <v>0.154</v>
      </c>
      <c r="D32" s="3">
        <v>0.14899999999999999</v>
      </c>
      <c r="E32" s="3">
        <v>0.152</v>
      </c>
      <c r="F32" s="3">
        <v>0.158</v>
      </c>
      <c r="G32" s="3">
        <v>0.151</v>
      </c>
      <c r="H32" s="3">
        <v>0.14299999999999999</v>
      </c>
      <c r="I32" s="3">
        <v>0.14899999999999999</v>
      </c>
      <c r="J32" s="3">
        <v>0.154</v>
      </c>
      <c r="K32" s="3">
        <v>0.14099999999999999</v>
      </c>
      <c r="L32" s="3">
        <v>0.14399999999999999</v>
      </c>
      <c r="M32" s="3">
        <v>0.13800000000000001</v>
      </c>
      <c r="N32" s="3">
        <v>0.152</v>
      </c>
      <c r="O32" s="3">
        <v>0.14799999999999999</v>
      </c>
      <c r="P32" s="3">
        <v>0.15</v>
      </c>
      <c r="Q32" s="3">
        <v>0.153</v>
      </c>
      <c r="R32" s="3">
        <v>0.14299999999999999</v>
      </c>
      <c r="S32" s="3">
        <v>0.14699999999999999</v>
      </c>
      <c r="T32" s="3">
        <v>0.14499999999999999</v>
      </c>
      <c r="U32" s="3">
        <v>0.13400000000000001</v>
      </c>
      <c r="V32" s="3">
        <v>0.156</v>
      </c>
      <c r="W32" s="3">
        <v>0.156</v>
      </c>
      <c r="X32" s="3">
        <v>0.14199999999999999</v>
      </c>
      <c r="Y32" s="3">
        <v>0.13700000000000001</v>
      </c>
      <c r="Z32" s="3">
        <v>0.159</v>
      </c>
      <c r="AA32" s="3">
        <v>0.154</v>
      </c>
      <c r="AB32" s="3">
        <v>0.14399999999999999</v>
      </c>
      <c r="AC32" s="3">
        <v>0.14399999999999999</v>
      </c>
      <c r="AD32" s="3">
        <v>0.14499999999999999</v>
      </c>
      <c r="AE32" s="3">
        <v>0.14399999999999999</v>
      </c>
      <c r="AF32" s="3">
        <v>0.14099999999999999</v>
      </c>
      <c r="AG32" s="3">
        <v>0.14000000000000001</v>
      </c>
      <c r="AH32" s="3">
        <v>0.115</v>
      </c>
      <c r="AI32" s="3">
        <v>0.11700000000000001</v>
      </c>
      <c r="AJ32" s="3">
        <v>0.114</v>
      </c>
      <c r="AK32" s="3">
        <v>0.11700000000000001</v>
      </c>
    </row>
    <row r="33" spans="1:39" x14ac:dyDescent="0.2">
      <c r="A33" s="2">
        <v>6.5277777777777782E-3</v>
      </c>
      <c r="B33" s="3">
        <v>0.155</v>
      </c>
      <c r="C33" s="3">
        <v>0.157</v>
      </c>
      <c r="D33" s="3">
        <v>0.151</v>
      </c>
      <c r="E33" s="3">
        <v>0.155</v>
      </c>
      <c r="F33" s="3">
        <v>0.161</v>
      </c>
      <c r="G33" s="3">
        <v>0.153</v>
      </c>
      <c r="H33" s="3">
        <v>0.14499999999999999</v>
      </c>
      <c r="I33" s="3">
        <v>0.15</v>
      </c>
      <c r="J33" s="3">
        <v>0.157</v>
      </c>
      <c r="K33" s="3">
        <v>0.14299999999999999</v>
      </c>
      <c r="L33" s="3">
        <v>0.14699999999999999</v>
      </c>
      <c r="M33" s="3">
        <v>0.13900000000000001</v>
      </c>
      <c r="N33" s="3">
        <v>0.155</v>
      </c>
      <c r="O33" s="3">
        <v>0.15</v>
      </c>
      <c r="P33" s="3">
        <v>0.153</v>
      </c>
      <c r="Q33" s="3">
        <v>0.155</v>
      </c>
      <c r="R33" s="3">
        <v>0.14499999999999999</v>
      </c>
      <c r="S33" s="3">
        <v>0.14899999999999999</v>
      </c>
      <c r="T33" s="3">
        <v>0.14699999999999999</v>
      </c>
      <c r="U33" s="3">
        <v>0.13600000000000001</v>
      </c>
      <c r="V33" s="3">
        <v>0.158</v>
      </c>
      <c r="W33" s="3">
        <v>0.159</v>
      </c>
      <c r="X33" s="3">
        <v>0.14399999999999999</v>
      </c>
      <c r="Y33" s="3">
        <v>0.13800000000000001</v>
      </c>
      <c r="Z33" s="3">
        <v>0.16200000000000001</v>
      </c>
      <c r="AA33" s="3">
        <v>0.156</v>
      </c>
      <c r="AB33" s="3">
        <v>0.14599999999999999</v>
      </c>
      <c r="AC33" s="3">
        <v>0.14599999999999999</v>
      </c>
      <c r="AD33" s="3">
        <v>0.14699999999999999</v>
      </c>
      <c r="AE33" s="3">
        <v>0.14599999999999999</v>
      </c>
      <c r="AF33" s="3">
        <v>0.14299999999999999</v>
      </c>
      <c r="AG33" s="3">
        <v>0.14199999999999999</v>
      </c>
      <c r="AH33" s="3">
        <v>0.115</v>
      </c>
      <c r="AI33" s="3">
        <v>0.11700000000000001</v>
      </c>
      <c r="AJ33" s="3">
        <v>0.114</v>
      </c>
      <c r="AK33" s="3">
        <v>0.11700000000000001</v>
      </c>
    </row>
    <row r="34" spans="1:39" x14ac:dyDescent="0.2">
      <c r="B34">
        <f>SLOPE(B27:B33,$A$27:$A$33)</f>
        <v>4.2018237082066898</v>
      </c>
      <c r="C34">
        <f t="shared" ref="C34:F34" si="1">SLOPE(C27:C33,$A$27:$A$33)</f>
        <v>4.6613981762917973</v>
      </c>
      <c r="D34">
        <f t="shared" si="1"/>
        <v>3.2826747720364771</v>
      </c>
      <c r="E34">
        <f t="shared" si="1"/>
        <v>4.2674772036474193</v>
      </c>
      <c r="F34">
        <f t="shared" si="1"/>
        <v>4.4644376899696088</v>
      </c>
      <c r="G34">
        <f>SLOPE(G27:G33,$A$27:$A$33)</f>
        <v>4.0705167173252255</v>
      </c>
      <c r="H34">
        <f t="shared" ref="H34" si="2">SLOPE(H27:H33,$A$27:$A$33)</f>
        <v>3.348328267477195</v>
      </c>
      <c r="I34">
        <f t="shared" ref="I34" si="3">SLOPE(I27:I33,$A$27:$A$33)</f>
        <v>3.4796352583586603</v>
      </c>
      <c r="J34">
        <f t="shared" ref="J34:K34" si="4">SLOPE(J27:J33,$A$27:$A$33)</f>
        <v>4.5957446808510678</v>
      </c>
      <c r="K34">
        <f t="shared" si="4"/>
        <v>2.8231003039513611</v>
      </c>
      <c r="L34">
        <f t="shared" ref="L34" si="5">SLOPE(L27:L33,$A$27:$A$33)</f>
        <v>3.4796352583586545</v>
      </c>
      <c r="M34">
        <f t="shared" ref="M34" si="6">SLOPE(M27:M33,$A$27:$A$33)</f>
        <v>1.4443768996960498</v>
      </c>
      <c r="N34">
        <f t="shared" ref="N34" si="7">SLOPE(N27:N33,$A$27:$A$33)</f>
        <v>4.5957446808510616</v>
      </c>
      <c r="O34">
        <f t="shared" ref="O34:P34" si="8">SLOPE(O27:O33,$A$27:$A$33)</f>
        <v>3.6765957446808453</v>
      </c>
      <c r="P34">
        <f t="shared" si="8"/>
        <v>4.2018237082066854</v>
      </c>
      <c r="Q34">
        <f t="shared" ref="Q34" si="9">SLOPE(Q27:Q33,$A$27:$A$33)</f>
        <v>4.0048632218845022</v>
      </c>
      <c r="R34">
        <f t="shared" ref="R34" si="10">SLOPE(R27:R33,$A$27:$A$33)</f>
        <v>3.5452887537993845</v>
      </c>
      <c r="S34">
        <f t="shared" ref="S34:T34" si="11">SLOPE(S27:S33,$A$27:$A$33)</f>
        <v>3.6765957446808453</v>
      </c>
      <c r="T34">
        <f t="shared" si="11"/>
        <v>3.6765957446808435</v>
      </c>
      <c r="U34">
        <f t="shared" ref="U34" si="12">SLOPE(U27:U33,$A$27:$A$33)</f>
        <v>2.0352583586626158</v>
      </c>
      <c r="V34">
        <f t="shared" ref="V34" si="13">SLOPE(V27:V33,$A$27:$A$33)</f>
        <v>4.0048632218845013</v>
      </c>
      <c r="W34">
        <f t="shared" ref="W34" si="14">SLOPE(W27:W33,$A$27:$A$33)</f>
        <v>4.5300911854103383</v>
      </c>
      <c r="X34">
        <f t="shared" ref="X34:Y34" si="15">SLOPE(X27:X33,$A$27:$A$33)</f>
        <v>2.9544072948328206</v>
      </c>
      <c r="Y34">
        <f t="shared" si="15"/>
        <v>2.1665653495440744</v>
      </c>
      <c r="Z34">
        <f t="shared" ref="Z34" si="16">SLOPE(Z27:Z33,$A$27:$A$33)</f>
        <v>5.3179331306990925</v>
      </c>
      <c r="AA34">
        <f t="shared" ref="AA34" si="17">SLOPE(AA27:AA33,$A$27:$A$33)</f>
        <v>4.0048632218845013</v>
      </c>
      <c r="AB34">
        <f t="shared" ref="AB34:AC34" si="18">SLOPE(AB27:AB33,$A$27:$A$33)</f>
        <v>3.0857142857142774</v>
      </c>
      <c r="AC34">
        <f t="shared" si="18"/>
        <v>3.1513677811550065</v>
      </c>
      <c r="AD34">
        <f t="shared" ref="AD34" si="19">SLOPE(AD27:AD33,$A$27:$A$33)</f>
        <v>3.6765957446808435</v>
      </c>
      <c r="AE34">
        <f t="shared" ref="AE34" si="20">SLOPE(AE27:AE33,$A$27:$A$33)</f>
        <v>3.0857142857142774</v>
      </c>
      <c r="AF34">
        <f t="shared" ref="AF34" si="21">SLOPE(AF27:AF33,$A$27:$A$33)</f>
        <v>3.3483282674771973</v>
      </c>
      <c r="AG34">
        <f t="shared" ref="AG34:AH34" si="22">SLOPE(AG27:AG33,$A$27:$A$33)</f>
        <v>2.8231003039513647</v>
      </c>
      <c r="AH34">
        <f t="shared" si="22"/>
        <v>-0.32826747720364763</v>
      </c>
      <c r="AI34">
        <f t="shared" ref="AI34" si="23">SLOPE(AI27:AI33,$A$27:$A$33)</f>
        <v>0</v>
      </c>
      <c r="AJ34">
        <f t="shared" ref="AJ34" si="24">SLOPE(AJ27:AJ33,$A$27:$A$33)</f>
        <v>0</v>
      </c>
      <c r="AK34">
        <f t="shared" ref="AK34" si="25">SLOPE(AK27:AK33,$A$27:$A$33)</f>
        <v>0</v>
      </c>
    </row>
    <row r="35" spans="1:39" x14ac:dyDescent="0.2">
      <c r="A35" t="s">
        <v>44</v>
      </c>
    </row>
    <row r="37" spans="1:39" x14ac:dyDescent="0.2">
      <c r="A37" s="1" t="s">
        <v>0</v>
      </c>
      <c r="B37" s="1" t="s">
        <v>1</v>
      </c>
      <c r="C37" s="1" t="s">
        <v>10</v>
      </c>
      <c r="D37" s="1" t="s">
        <v>19</v>
      </c>
      <c r="E37" s="1" t="s">
        <v>29</v>
      </c>
      <c r="F37" s="1" t="s">
        <v>2</v>
      </c>
      <c r="G37" s="1" t="s">
        <v>11</v>
      </c>
      <c r="H37" s="1" t="s">
        <v>20</v>
      </c>
      <c r="I37" s="1" t="s">
        <v>30</v>
      </c>
      <c r="J37" s="1" t="s">
        <v>3</v>
      </c>
      <c r="K37" s="1" t="s">
        <v>12</v>
      </c>
      <c r="L37" s="1" t="s">
        <v>21</v>
      </c>
      <c r="M37" s="1" t="s">
        <v>31</v>
      </c>
      <c r="N37" s="1" t="s">
        <v>4</v>
      </c>
      <c r="O37" s="1" t="s">
        <v>13</v>
      </c>
      <c r="P37" s="1" t="s">
        <v>22</v>
      </c>
      <c r="Q37" s="1" t="s">
        <v>32</v>
      </c>
      <c r="R37" s="1" t="s">
        <v>5</v>
      </c>
      <c r="S37" s="1" t="s">
        <v>14</v>
      </c>
      <c r="T37" s="1" t="s">
        <v>23</v>
      </c>
      <c r="U37" s="1" t="s">
        <v>33</v>
      </c>
      <c r="V37" s="1" t="s">
        <v>6</v>
      </c>
      <c r="W37" s="1" t="s">
        <v>15</v>
      </c>
      <c r="X37" s="1" t="s">
        <v>24</v>
      </c>
      <c r="Y37" s="1" t="s">
        <v>34</v>
      </c>
      <c r="Z37" s="1" t="s">
        <v>7</v>
      </c>
      <c r="AA37" s="1" t="s">
        <v>16</v>
      </c>
      <c r="AB37" s="1" t="s">
        <v>25</v>
      </c>
      <c r="AC37" s="1" t="s">
        <v>35</v>
      </c>
      <c r="AD37" s="1" t="s">
        <v>8</v>
      </c>
      <c r="AE37" s="1" t="s">
        <v>17</v>
      </c>
      <c r="AF37" s="1" t="s">
        <v>26</v>
      </c>
      <c r="AG37" s="1" t="s">
        <v>36</v>
      </c>
      <c r="AH37" s="1" t="s">
        <v>9</v>
      </c>
      <c r="AI37" s="1" t="s">
        <v>18</v>
      </c>
      <c r="AJ37" s="1" t="s">
        <v>27</v>
      </c>
      <c r="AK37" s="1" t="s">
        <v>37</v>
      </c>
      <c r="AM37" s="21" t="s">
        <v>69</v>
      </c>
    </row>
    <row r="38" spans="1:39" x14ac:dyDescent="0.2">
      <c r="A38" s="2">
        <v>0</v>
      </c>
      <c r="B38" s="3">
        <v>0.13400000000000001</v>
      </c>
      <c r="C38" s="3">
        <v>0.129</v>
      </c>
      <c r="D38" s="3">
        <v>0.129</v>
      </c>
      <c r="E38" s="3">
        <v>0.15</v>
      </c>
      <c r="F38" s="3">
        <v>0.13700000000000001</v>
      </c>
      <c r="G38" s="3">
        <v>0.13100000000000001</v>
      </c>
      <c r="H38" s="3">
        <v>0.129</v>
      </c>
      <c r="I38" s="3">
        <v>0.13100000000000001</v>
      </c>
      <c r="J38" s="3">
        <v>0.129</v>
      </c>
      <c r="K38" s="3">
        <v>0.13</v>
      </c>
      <c r="L38" s="3">
        <v>0.129</v>
      </c>
      <c r="M38" s="3">
        <v>0.13400000000000001</v>
      </c>
      <c r="N38" s="3">
        <v>0.13300000000000001</v>
      </c>
      <c r="O38" s="3">
        <v>0.13200000000000001</v>
      </c>
      <c r="P38" s="3">
        <v>0.13</v>
      </c>
      <c r="Q38" s="3">
        <v>0.13600000000000001</v>
      </c>
      <c r="R38" s="3">
        <v>0.126</v>
      </c>
      <c r="S38" s="3">
        <v>0.13100000000000001</v>
      </c>
      <c r="T38" s="3">
        <v>0.13</v>
      </c>
      <c r="U38" s="3">
        <v>0.127</v>
      </c>
      <c r="V38" s="3">
        <v>0.13400000000000001</v>
      </c>
      <c r="W38" s="3">
        <v>0.14799999999999999</v>
      </c>
      <c r="X38" s="3">
        <v>0.129</v>
      </c>
      <c r="Y38" s="3">
        <v>0.13</v>
      </c>
      <c r="Z38" s="3">
        <v>0.13200000000000001</v>
      </c>
      <c r="AA38" s="3">
        <v>0.13300000000000001</v>
      </c>
      <c r="AB38" s="3">
        <v>0.128</v>
      </c>
      <c r="AC38" s="3">
        <v>0.127</v>
      </c>
      <c r="AD38" s="3">
        <v>0.125</v>
      </c>
      <c r="AE38" s="3">
        <v>0.128</v>
      </c>
      <c r="AF38" s="3">
        <v>0.126</v>
      </c>
      <c r="AG38" s="3">
        <v>0.127</v>
      </c>
      <c r="AH38" s="3">
        <v>6.8000000000000005E-2</v>
      </c>
      <c r="AI38" s="3">
        <v>6.7000000000000004E-2</v>
      </c>
      <c r="AJ38" s="3">
        <v>6.8000000000000005E-2</v>
      </c>
      <c r="AK38" s="3">
        <v>6.9000000000000006E-2</v>
      </c>
      <c r="AM38">
        <f>AVERAGE(AH51:AK51)</f>
        <v>-2.7355623100303969E-2</v>
      </c>
    </row>
    <row r="39" spans="1:39" x14ac:dyDescent="0.2">
      <c r="A39" s="2">
        <v>5.4398148148148144E-4</v>
      </c>
      <c r="B39" s="3">
        <v>0.13500000000000001</v>
      </c>
      <c r="C39" s="3">
        <v>0.13</v>
      </c>
      <c r="D39" s="3">
        <v>0.13</v>
      </c>
      <c r="E39" s="3">
        <v>0.14899999999999999</v>
      </c>
      <c r="F39" s="3">
        <v>0.13800000000000001</v>
      </c>
      <c r="G39" s="3">
        <v>0.13200000000000001</v>
      </c>
      <c r="H39" s="3">
        <v>0.13</v>
      </c>
      <c r="I39" s="3">
        <v>0.13200000000000001</v>
      </c>
      <c r="J39" s="3">
        <v>0.13</v>
      </c>
      <c r="K39" s="3">
        <v>0.13</v>
      </c>
      <c r="L39" s="3">
        <v>0.13</v>
      </c>
      <c r="M39" s="3">
        <v>0.13400000000000001</v>
      </c>
      <c r="N39" s="3">
        <v>0.13300000000000001</v>
      </c>
      <c r="O39" s="3">
        <v>0.13300000000000001</v>
      </c>
      <c r="P39" s="3">
        <v>0.13100000000000001</v>
      </c>
      <c r="Q39" s="3">
        <v>0.13700000000000001</v>
      </c>
      <c r="R39" s="3">
        <v>0.127</v>
      </c>
      <c r="S39" s="3">
        <v>0.13200000000000001</v>
      </c>
      <c r="T39" s="3">
        <v>0.13100000000000001</v>
      </c>
      <c r="U39" s="3">
        <v>0.127</v>
      </c>
      <c r="V39" s="3">
        <v>0.13500000000000001</v>
      </c>
      <c r="W39" s="3">
        <v>0.14899999999999999</v>
      </c>
      <c r="X39" s="3">
        <v>0.13</v>
      </c>
      <c r="Y39" s="3">
        <v>0.13100000000000001</v>
      </c>
      <c r="Z39" s="3">
        <v>0.13300000000000001</v>
      </c>
      <c r="AA39" s="3">
        <v>0.13300000000000001</v>
      </c>
      <c r="AB39" s="3">
        <v>0.128</v>
      </c>
      <c r="AC39" s="3">
        <v>0.128</v>
      </c>
      <c r="AD39" s="3">
        <v>0.126</v>
      </c>
      <c r="AE39" s="3">
        <v>0.129</v>
      </c>
      <c r="AF39" s="3">
        <v>0.127</v>
      </c>
      <c r="AG39" s="3">
        <v>0.128</v>
      </c>
      <c r="AH39" s="3">
        <v>6.8000000000000005E-2</v>
      </c>
      <c r="AI39" s="3">
        <v>6.7000000000000004E-2</v>
      </c>
      <c r="AJ39" s="3">
        <v>6.7000000000000004E-2</v>
      </c>
      <c r="AK39" s="3">
        <v>6.9000000000000006E-2</v>
      </c>
    </row>
    <row r="40" spans="1:39" x14ac:dyDescent="0.2">
      <c r="A40" s="2">
        <v>1.0879629629629629E-3</v>
      </c>
      <c r="B40" s="3">
        <v>0.13600000000000001</v>
      </c>
      <c r="C40" s="3">
        <v>0.13100000000000001</v>
      </c>
      <c r="D40" s="3">
        <v>0.13100000000000001</v>
      </c>
      <c r="E40" s="3">
        <v>0.151</v>
      </c>
      <c r="F40" s="3">
        <v>0.13900000000000001</v>
      </c>
      <c r="G40" s="3">
        <v>0.13300000000000001</v>
      </c>
      <c r="H40" s="3">
        <v>0.13100000000000001</v>
      </c>
      <c r="I40" s="3">
        <v>0.13300000000000001</v>
      </c>
      <c r="J40" s="3">
        <v>0.13200000000000001</v>
      </c>
      <c r="K40" s="3">
        <v>0.13100000000000001</v>
      </c>
      <c r="L40" s="3">
        <v>0.13100000000000001</v>
      </c>
      <c r="M40" s="3">
        <v>0.13500000000000001</v>
      </c>
      <c r="N40" s="3">
        <v>0.13500000000000001</v>
      </c>
      <c r="O40" s="3">
        <v>0.13400000000000001</v>
      </c>
      <c r="P40" s="3">
        <v>0.13200000000000001</v>
      </c>
      <c r="Q40" s="3">
        <v>0.13800000000000001</v>
      </c>
      <c r="R40" s="3">
        <v>0.128</v>
      </c>
      <c r="S40" s="3">
        <v>0.13300000000000001</v>
      </c>
      <c r="T40" s="3">
        <v>0.13100000000000001</v>
      </c>
      <c r="U40" s="3">
        <v>0.128</v>
      </c>
      <c r="V40" s="3">
        <v>0.13700000000000001</v>
      </c>
      <c r="W40" s="3">
        <v>0.15</v>
      </c>
      <c r="X40" s="3">
        <v>0.13</v>
      </c>
      <c r="Y40" s="3">
        <v>0.13100000000000001</v>
      </c>
      <c r="Z40" s="3">
        <v>0.13500000000000001</v>
      </c>
      <c r="AA40" s="3">
        <v>0.13400000000000001</v>
      </c>
      <c r="AB40" s="3">
        <v>0.129</v>
      </c>
      <c r="AC40" s="3">
        <v>0.129</v>
      </c>
      <c r="AD40" s="3">
        <v>0.127</v>
      </c>
      <c r="AE40" s="3">
        <v>0.129</v>
      </c>
      <c r="AF40" s="3">
        <v>0.128</v>
      </c>
      <c r="AG40" s="3">
        <v>0.128</v>
      </c>
      <c r="AH40" s="3">
        <v>6.7000000000000004E-2</v>
      </c>
      <c r="AI40" s="3">
        <v>6.6000000000000003E-2</v>
      </c>
      <c r="AJ40" s="3">
        <v>6.7000000000000004E-2</v>
      </c>
      <c r="AK40" s="3">
        <v>6.9000000000000006E-2</v>
      </c>
    </row>
    <row r="41" spans="1:39" x14ac:dyDescent="0.2">
      <c r="A41" s="2">
        <v>1.6319444444444445E-3</v>
      </c>
      <c r="B41" s="3">
        <v>0.13700000000000001</v>
      </c>
      <c r="C41" s="3">
        <v>0.13300000000000001</v>
      </c>
      <c r="D41" s="3">
        <v>0.13200000000000001</v>
      </c>
      <c r="E41" s="3">
        <v>0.152</v>
      </c>
      <c r="F41" s="3">
        <v>0.14099999999999999</v>
      </c>
      <c r="G41" s="3">
        <v>0.13400000000000001</v>
      </c>
      <c r="H41" s="3">
        <v>0.13200000000000001</v>
      </c>
      <c r="I41" s="3">
        <v>0.13400000000000001</v>
      </c>
      <c r="J41" s="3">
        <v>0.13400000000000001</v>
      </c>
      <c r="K41" s="3">
        <v>0.13200000000000001</v>
      </c>
      <c r="L41" s="3">
        <v>0.13200000000000001</v>
      </c>
      <c r="M41" s="3">
        <v>0.13600000000000001</v>
      </c>
      <c r="N41" s="3">
        <v>0.13800000000000001</v>
      </c>
      <c r="O41" s="3">
        <v>0.13500000000000001</v>
      </c>
      <c r="P41" s="3">
        <v>0.13400000000000001</v>
      </c>
      <c r="Q41" s="3">
        <v>0.13900000000000001</v>
      </c>
      <c r="R41" s="3">
        <v>0.129</v>
      </c>
      <c r="S41" s="3">
        <v>0.13400000000000001</v>
      </c>
      <c r="T41" s="3">
        <v>0.13200000000000001</v>
      </c>
      <c r="U41" s="3">
        <v>0.128</v>
      </c>
      <c r="V41" s="3">
        <v>0.13800000000000001</v>
      </c>
      <c r="W41" s="3">
        <v>0.152</v>
      </c>
      <c r="X41" s="3">
        <v>0.13100000000000001</v>
      </c>
      <c r="Y41" s="3">
        <v>0.13300000000000001</v>
      </c>
      <c r="Z41" s="3">
        <v>0.13700000000000001</v>
      </c>
      <c r="AA41" s="3">
        <v>0.13500000000000001</v>
      </c>
      <c r="AB41" s="3">
        <v>0.13</v>
      </c>
      <c r="AC41" s="3">
        <v>0.13</v>
      </c>
      <c r="AD41" s="3">
        <v>0.128</v>
      </c>
      <c r="AE41" s="3">
        <v>0.13</v>
      </c>
      <c r="AF41" s="3">
        <v>0.129</v>
      </c>
      <c r="AG41" s="3">
        <v>0.129</v>
      </c>
      <c r="AH41" s="3">
        <v>6.7000000000000004E-2</v>
      </c>
      <c r="AI41" s="3">
        <v>6.6000000000000003E-2</v>
      </c>
      <c r="AJ41" s="3">
        <v>6.7000000000000004E-2</v>
      </c>
      <c r="AK41" s="3">
        <v>6.8000000000000005E-2</v>
      </c>
    </row>
    <row r="42" spans="1:39" x14ac:dyDescent="0.2">
      <c r="A42" s="2">
        <v>2.1759259259259258E-3</v>
      </c>
      <c r="B42" s="3">
        <v>0.14000000000000001</v>
      </c>
      <c r="C42" s="3">
        <v>0.13400000000000001</v>
      </c>
      <c r="D42" s="3">
        <v>0.13300000000000001</v>
      </c>
      <c r="E42" s="3">
        <v>0.154</v>
      </c>
      <c r="F42" s="3">
        <v>0.14199999999999999</v>
      </c>
      <c r="G42" s="3">
        <v>0.13600000000000001</v>
      </c>
      <c r="H42" s="3">
        <v>0.13300000000000001</v>
      </c>
      <c r="I42" s="3">
        <v>0.13500000000000001</v>
      </c>
      <c r="J42" s="3">
        <v>0.13600000000000001</v>
      </c>
      <c r="K42" s="3">
        <v>0.13300000000000001</v>
      </c>
      <c r="L42" s="3">
        <v>0.13300000000000001</v>
      </c>
      <c r="M42" s="3">
        <v>0.13600000000000001</v>
      </c>
      <c r="N42" s="3">
        <v>0.14799999999999999</v>
      </c>
      <c r="O42" s="3">
        <v>0.13600000000000001</v>
      </c>
      <c r="P42" s="3">
        <v>0.13500000000000001</v>
      </c>
      <c r="Q42" s="3">
        <v>0.14099999999999999</v>
      </c>
      <c r="R42" s="3">
        <v>0.13100000000000001</v>
      </c>
      <c r="S42" s="3">
        <v>0.13600000000000001</v>
      </c>
      <c r="T42" s="3">
        <v>0.13300000000000001</v>
      </c>
      <c r="U42" s="3">
        <v>0.129</v>
      </c>
      <c r="V42" s="3">
        <v>0.14000000000000001</v>
      </c>
      <c r="W42" s="3">
        <v>0.153</v>
      </c>
      <c r="X42" s="3">
        <v>0.13200000000000001</v>
      </c>
      <c r="Y42" s="3">
        <v>0.13300000000000001</v>
      </c>
      <c r="Z42" s="3">
        <v>0.13900000000000001</v>
      </c>
      <c r="AA42" s="3">
        <v>0.13700000000000001</v>
      </c>
      <c r="AB42" s="3">
        <v>0.13100000000000001</v>
      </c>
      <c r="AC42" s="3">
        <v>0.13100000000000001</v>
      </c>
      <c r="AD42" s="3">
        <v>0.13</v>
      </c>
      <c r="AE42" s="3">
        <v>0.13100000000000001</v>
      </c>
      <c r="AF42" s="3">
        <v>0.13</v>
      </c>
      <c r="AG42" s="3">
        <v>0.13</v>
      </c>
      <c r="AH42" s="3">
        <v>6.7000000000000004E-2</v>
      </c>
      <c r="AI42" s="3">
        <v>6.6000000000000003E-2</v>
      </c>
      <c r="AJ42" s="3">
        <v>6.7000000000000004E-2</v>
      </c>
      <c r="AK42" s="3">
        <v>6.8000000000000005E-2</v>
      </c>
    </row>
    <row r="43" spans="1:39" x14ac:dyDescent="0.2">
      <c r="A43" s="2">
        <v>2.7199074074074074E-3</v>
      </c>
      <c r="B43" s="3">
        <v>0.14099999999999999</v>
      </c>
      <c r="C43" s="3">
        <v>0.13600000000000001</v>
      </c>
      <c r="D43" s="3">
        <v>0.13500000000000001</v>
      </c>
      <c r="E43" s="3">
        <v>0.156</v>
      </c>
      <c r="F43" s="3">
        <v>0.14399999999999999</v>
      </c>
      <c r="G43" s="3">
        <v>0.13700000000000001</v>
      </c>
      <c r="H43" s="3">
        <v>0.13400000000000001</v>
      </c>
      <c r="I43" s="3">
        <v>0.13600000000000001</v>
      </c>
      <c r="J43" s="3">
        <v>0.13800000000000001</v>
      </c>
      <c r="K43" s="3">
        <v>0.13400000000000001</v>
      </c>
      <c r="L43" s="3">
        <v>0.13400000000000001</v>
      </c>
      <c r="M43" s="3">
        <v>0.13800000000000001</v>
      </c>
      <c r="N43" s="3">
        <v>0.14099999999999999</v>
      </c>
      <c r="O43" s="3">
        <v>0.13700000000000001</v>
      </c>
      <c r="P43" s="3">
        <v>0.13700000000000001</v>
      </c>
      <c r="Q43" s="3">
        <v>0.14199999999999999</v>
      </c>
      <c r="R43" s="3">
        <v>0.13200000000000001</v>
      </c>
      <c r="S43" s="3">
        <v>0.13700000000000001</v>
      </c>
      <c r="T43" s="3">
        <v>0.13500000000000001</v>
      </c>
      <c r="U43" s="3">
        <v>0.13</v>
      </c>
      <c r="V43" s="3">
        <v>0.14199999999999999</v>
      </c>
      <c r="W43" s="3">
        <v>0.154</v>
      </c>
      <c r="X43" s="3">
        <v>0.13300000000000001</v>
      </c>
      <c r="Y43" s="3">
        <v>0.13400000000000001</v>
      </c>
      <c r="Z43" s="3">
        <v>0.14099999999999999</v>
      </c>
      <c r="AA43" s="3">
        <v>0.13900000000000001</v>
      </c>
      <c r="AB43" s="3">
        <v>0.13300000000000001</v>
      </c>
      <c r="AC43" s="3">
        <v>0.13200000000000001</v>
      </c>
      <c r="AD43" s="3">
        <v>0.13100000000000001</v>
      </c>
      <c r="AE43" s="3">
        <v>0.13200000000000001</v>
      </c>
      <c r="AF43" s="3">
        <v>0.13100000000000001</v>
      </c>
      <c r="AG43" s="3">
        <v>0.13</v>
      </c>
      <c r="AH43" s="3">
        <v>6.7000000000000004E-2</v>
      </c>
      <c r="AI43" s="3">
        <v>6.6000000000000003E-2</v>
      </c>
      <c r="AJ43" s="3">
        <v>6.7000000000000004E-2</v>
      </c>
      <c r="AK43" s="3">
        <v>6.8000000000000005E-2</v>
      </c>
    </row>
    <row r="44" spans="1:39" x14ac:dyDescent="0.2">
      <c r="A44" s="2">
        <v>3.2638888888888891E-3</v>
      </c>
      <c r="B44" s="3">
        <v>0.14299999999999999</v>
      </c>
      <c r="C44" s="3">
        <v>0.13800000000000001</v>
      </c>
      <c r="D44" s="3">
        <v>0.13600000000000001</v>
      </c>
      <c r="E44" s="3">
        <v>0.158</v>
      </c>
      <c r="F44" s="3">
        <v>0.14599999999999999</v>
      </c>
      <c r="G44" s="3">
        <v>0.13900000000000001</v>
      </c>
      <c r="H44" s="3">
        <v>0.13500000000000001</v>
      </c>
      <c r="I44" s="3">
        <v>0.13800000000000001</v>
      </c>
      <c r="J44" s="3">
        <v>0.14000000000000001</v>
      </c>
      <c r="K44" s="3">
        <v>0.13500000000000001</v>
      </c>
      <c r="L44" s="3">
        <v>0.13600000000000001</v>
      </c>
      <c r="M44" s="3">
        <v>0.13800000000000001</v>
      </c>
      <c r="N44" s="3">
        <v>0.14199999999999999</v>
      </c>
      <c r="O44" s="3">
        <v>0.13900000000000001</v>
      </c>
      <c r="P44" s="3">
        <v>0.13800000000000001</v>
      </c>
      <c r="Q44" s="3">
        <v>0.14399999999999999</v>
      </c>
      <c r="R44" s="3">
        <v>0.13400000000000001</v>
      </c>
      <c r="S44" s="3">
        <v>0.13900000000000001</v>
      </c>
      <c r="T44" s="3">
        <v>0.13600000000000001</v>
      </c>
      <c r="U44" s="3">
        <v>0.13100000000000001</v>
      </c>
      <c r="V44" s="3">
        <v>0.14299999999999999</v>
      </c>
      <c r="W44" s="3">
        <v>0.157</v>
      </c>
      <c r="X44" s="3">
        <v>0.13400000000000001</v>
      </c>
      <c r="Y44" s="3">
        <v>0.13500000000000001</v>
      </c>
      <c r="Z44" s="3">
        <v>0.14299999999999999</v>
      </c>
      <c r="AA44" s="3">
        <v>0.14000000000000001</v>
      </c>
      <c r="AB44" s="3">
        <v>0.13400000000000001</v>
      </c>
      <c r="AC44" s="3">
        <v>0.13400000000000001</v>
      </c>
      <c r="AD44" s="3">
        <v>0.13300000000000001</v>
      </c>
      <c r="AE44" s="3">
        <v>0.13300000000000001</v>
      </c>
      <c r="AF44" s="3">
        <v>0.13200000000000001</v>
      </c>
      <c r="AG44" s="3">
        <v>0.13200000000000001</v>
      </c>
      <c r="AH44" s="3">
        <v>6.7000000000000004E-2</v>
      </c>
      <c r="AI44" s="3">
        <v>6.6000000000000003E-2</v>
      </c>
      <c r="AJ44" s="3">
        <v>6.7000000000000004E-2</v>
      </c>
      <c r="AK44" s="3">
        <v>6.8000000000000005E-2</v>
      </c>
    </row>
    <row r="45" spans="1:39" x14ac:dyDescent="0.2">
      <c r="A45" s="2">
        <v>3.8078703703703703E-3</v>
      </c>
      <c r="B45" s="3">
        <v>0.14499999999999999</v>
      </c>
      <c r="C45" s="3">
        <v>0.14000000000000001</v>
      </c>
      <c r="D45" s="3">
        <v>0.13800000000000001</v>
      </c>
      <c r="E45" s="3">
        <v>0.16</v>
      </c>
      <c r="F45" s="3">
        <v>0.14899999999999999</v>
      </c>
      <c r="G45" s="3">
        <v>0.14099999999999999</v>
      </c>
      <c r="H45" s="3">
        <v>0.13800000000000001</v>
      </c>
      <c r="I45" s="3">
        <v>0.14000000000000001</v>
      </c>
      <c r="J45" s="3">
        <v>0.14199999999999999</v>
      </c>
      <c r="K45" s="3">
        <v>0.13600000000000001</v>
      </c>
      <c r="L45" s="3">
        <v>0.13800000000000001</v>
      </c>
      <c r="M45" s="3">
        <v>0.13800000000000001</v>
      </c>
      <c r="N45" s="3">
        <v>0.14399999999999999</v>
      </c>
      <c r="O45" s="3">
        <v>0.14099999999999999</v>
      </c>
      <c r="P45" s="3">
        <v>0.14099999999999999</v>
      </c>
      <c r="Q45" s="3">
        <v>0.14599999999999999</v>
      </c>
      <c r="R45" s="3">
        <v>0.13600000000000001</v>
      </c>
      <c r="S45" s="3">
        <v>0.14099999999999999</v>
      </c>
      <c r="T45" s="3">
        <v>0.13800000000000001</v>
      </c>
      <c r="U45" s="3">
        <v>0.13100000000000001</v>
      </c>
      <c r="V45" s="3">
        <v>0.14599999999999999</v>
      </c>
      <c r="W45" s="3">
        <v>0.157</v>
      </c>
      <c r="X45" s="3">
        <v>0.13500000000000001</v>
      </c>
      <c r="Y45" s="3">
        <v>0.13700000000000001</v>
      </c>
      <c r="Z45" s="3">
        <v>0.14599999999999999</v>
      </c>
      <c r="AA45" s="3">
        <v>0.14299999999999999</v>
      </c>
      <c r="AB45" s="3">
        <v>0.13500000000000001</v>
      </c>
      <c r="AC45" s="3">
        <v>0.13600000000000001</v>
      </c>
      <c r="AD45" s="3">
        <v>0.13500000000000001</v>
      </c>
      <c r="AE45" s="3">
        <v>0.13500000000000001</v>
      </c>
      <c r="AF45" s="3">
        <v>0.13400000000000001</v>
      </c>
      <c r="AG45" s="3">
        <v>0.13300000000000001</v>
      </c>
      <c r="AH45" s="3">
        <v>6.7000000000000004E-2</v>
      </c>
      <c r="AI45" s="3">
        <v>6.6000000000000003E-2</v>
      </c>
      <c r="AJ45" s="3">
        <v>6.7000000000000004E-2</v>
      </c>
      <c r="AK45" s="3">
        <v>6.8000000000000005E-2</v>
      </c>
    </row>
    <row r="46" spans="1:39" x14ac:dyDescent="0.2">
      <c r="A46" s="2">
        <v>4.3518518518518515E-3</v>
      </c>
      <c r="B46" s="3">
        <v>0.14699999999999999</v>
      </c>
      <c r="C46" s="3">
        <v>0.14299999999999999</v>
      </c>
      <c r="D46" s="3">
        <v>0.14000000000000001</v>
      </c>
      <c r="E46" s="3">
        <v>0.16300000000000001</v>
      </c>
      <c r="F46" s="3">
        <v>0.151</v>
      </c>
      <c r="G46" s="3">
        <v>0.14299999999999999</v>
      </c>
      <c r="H46" s="3">
        <v>0.13900000000000001</v>
      </c>
      <c r="I46" s="3">
        <v>0.14199999999999999</v>
      </c>
      <c r="J46" s="3">
        <v>0.14499999999999999</v>
      </c>
      <c r="K46" s="3">
        <v>0.13700000000000001</v>
      </c>
      <c r="L46" s="3">
        <v>0.13900000000000001</v>
      </c>
      <c r="M46" s="3">
        <v>0.13900000000000001</v>
      </c>
      <c r="N46" s="3">
        <v>0.14599999999999999</v>
      </c>
      <c r="O46" s="3">
        <v>0.14199999999999999</v>
      </c>
      <c r="P46" s="3">
        <v>0.14299999999999999</v>
      </c>
      <c r="Q46" s="3">
        <v>0.14799999999999999</v>
      </c>
      <c r="R46" s="3">
        <v>0.13800000000000001</v>
      </c>
      <c r="S46" s="3">
        <v>0.14299999999999999</v>
      </c>
      <c r="T46" s="3">
        <v>0.14000000000000001</v>
      </c>
      <c r="U46" s="3">
        <v>0.13200000000000001</v>
      </c>
      <c r="V46" s="3">
        <v>0.14799999999999999</v>
      </c>
      <c r="W46" s="3">
        <v>0.16</v>
      </c>
      <c r="X46" s="3">
        <v>0.13600000000000001</v>
      </c>
      <c r="Y46" s="3">
        <v>0.13800000000000001</v>
      </c>
      <c r="Z46" s="3">
        <v>0.14799999999999999</v>
      </c>
      <c r="AA46" s="3">
        <v>0.14499999999999999</v>
      </c>
      <c r="AB46" s="3">
        <v>0.13700000000000001</v>
      </c>
      <c r="AC46" s="3">
        <v>0.13700000000000001</v>
      </c>
      <c r="AD46" s="3">
        <v>0.13700000000000001</v>
      </c>
      <c r="AE46" s="3">
        <v>0.13600000000000001</v>
      </c>
      <c r="AF46" s="3">
        <v>0.13600000000000001</v>
      </c>
      <c r="AG46" s="3">
        <v>0.13400000000000001</v>
      </c>
      <c r="AH46" s="3">
        <v>6.7000000000000004E-2</v>
      </c>
      <c r="AI46" s="3">
        <v>6.6000000000000003E-2</v>
      </c>
      <c r="AJ46" s="3">
        <v>6.7000000000000004E-2</v>
      </c>
      <c r="AK46" s="3">
        <v>6.8000000000000005E-2</v>
      </c>
    </row>
    <row r="47" spans="1:39" x14ac:dyDescent="0.2">
      <c r="A47" s="2">
        <v>4.8958333333333336E-3</v>
      </c>
      <c r="B47" s="3">
        <v>0.15</v>
      </c>
      <c r="C47" s="3">
        <v>0.14499999999999999</v>
      </c>
      <c r="D47" s="3">
        <v>0.14199999999999999</v>
      </c>
      <c r="E47" s="3">
        <v>0.16500000000000001</v>
      </c>
      <c r="F47" s="3">
        <v>0.153</v>
      </c>
      <c r="G47" s="3">
        <v>0.14499999999999999</v>
      </c>
      <c r="H47" s="3">
        <v>0.14000000000000001</v>
      </c>
      <c r="I47" s="3">
        <v>0.14299999999999999</v>
      </c>
      <c r="J47" s="3">
        <v>0.14799999999999999</v>
      </c>
      <c r="K47" s="3">
        <v>0.13900000000000001</v>
      </c>
      <c r="L47" s="3">
        <v>0.14099999999999999</v>
      </c>
      <c r="M47" s="3">
        <v>0.14000000000000001</v>
      </c>
      <c r="N47" s="3">
        <v>0.14899999999999999</v>
      </c>
      <c r="O47" s="3">
        <v>0.14399999999999999</v>
      </c>
      <c r="P47" s="3">
        <v>0.14499999999999999</v>
      </c>
      <c r="Q47" s="3">
        <v>0.15</v>
      </c>
      <c r="R47" s="3">
        <v>0.14000000000000001</v>
      </c>
      <c r="S47" s="3">
        <v>0.14499999999999999</v>
      </c>
      <c r="T47" s="3">
        <v>0.14199999999999999</v>
      </c>
      <c r="U47" s="3">
        <v>0.13300000000000001</v>
      </c>
      <c r="V47" s="3">
        <v>0.15</v>
      </c>
      <c r="W47" s="3">
        <v>0.16300000000000001</v>
      </c>
      <c r="X47" s="3">
        <v>0.13700000000000001</v>
      </c>
      <c r="Y47" s="3">
        <v>0.14000000000000001</v>
      </c>
      <c r="Z47" s="3">
        <v>0.151</v>
      </c>
      <c r="AA47" s="3">
        <v>0.14699999999999999</v>
      </c>
      <c r="AB47" s="3">
        <v>0.13900000000000001</v>
      </c>
      <c r="AC47" s="3">
        <v>0.13900000000000001</v>
      </c>
      <c r="AD47" s="3">
        <v>0.13900000000000001</v>
      </c>
      <c r="AE47" s="3">
        <v>0.13800000000000001</v>
      </c>
      <c r="AF47" s="3">
        <v>0.13800000000000001</v>
      </c>
      <c r="AG47" s="3">
        <v>0.13600000000000001</v>
      </c>
      <c r="AH47" s="3">
        <v>6.7000000000000004E-2</v>
      </c>
      <c r="AI47" s="3">
        <v>6.6000000000000003E-2</v>
      </c>
      <c r="AJ47" s="3">
        <v>6.7000000000000004E-2</v>
      </c>
      <c r="AK47" s="3">
        <v>6.8000000000000005E-2</v>
      </c>
    </row>
    <row r="48" spans="1:39" x14ac:dyDescent="0.2">
      <c r="A48" s="2">
        <v>5.4398148148148149E-3</v>
      </c>
      <c r="B48" s="3">
        <v>0.152</v>
      </c>
      <c r="C48" s="3">
        <v>0.14799999999999999</v>
      </c>
      <c r="D48" s="3">
        <v>0.14399999999999999</v>
      </c>
      <c r="E48" s="3">
        <v>0.16800000000000001</v>
      </c>
      <c r="F48" s="3">
        <v>0.155</v>
      </c>
      <c r="G48" s="3">
        <v>0.14699999999999999</v>
      </c>
      <c r="H48" s="3">
        <v>0.14199999999999999</v>
      </c>
      <c r="I48" s="3">
        <v>0.14499999999999999</v>
      </c>
      <c r="J48" s="3">
        <v>0.15</v>
      </c>
      <c r="K48" s="3">
        <v>0.14000000000000001</v>
      </c>
      <c r="L48" s="3">
        <v>0.14299999999999999</v>
      </c>
      <c r="M48" s="3">
        <v>0.14000000000000001</v>
      </c>
      <c r="N48" s="3">
        <v>0.151</v>
      </c>
      <c r="O48" s="3">
        <v>0.14599999999999999</v>
      </c>
      <c r="P48" s="3">
        <v>0.14699999999999999</v>
      </c>
      <c r="Q48" s="3">
        <v>0.153</v>
      </c>
      <c r="R48" s="3">
        <v>0.14199999999999999</v>
      </c>
      <c r="S48" s="3">
        <v>0.14799999999999999</v>
      </c>
      <c r="T48" s="3">
        <v>0.14399999999999999</v>
      </c>
      <c r="U48" s="3">
        <v>0.13500000000000001</v>
      </c>
      <c r="V48" s="3">
        <v>0.152</v>
      </c>
      <c r="W48" s="3">
        <v>0.16400000000000001</v>
      </c>
      <c r="X48" s="3">
        <v>0.13900000000000001</v>
      </c>
      <c r="Y48" s="3">
        <v>0.14099999999999999</v>
      </c>
      <c r="Z48" s="3">
        <v>0.154</v>
      </c>
      <c r="AA48" s="3">
        <v>0.14899999999999999</v>
      </c>
      <c r="AB48" s="3">
        <v>0.14099999999999999</v>
      </c>
      <c r="AC48" s="3">
        <v>0.14099999999999999</v>
      </c>
      <c r="AD48" s="3">
        <v>0.14099999999999999</v>
      </c>
      <c r="AE48" s="3">
        <v>0.14000000000000001</v>
      </c>
      <c r="AF48" s="3">
        <v>0.14000000000000001</v>
      </c>
      <c r="AG48" s="3">
        <v>0.13800000000000001</v>
      </c>
      <c r="AH48" s="3">
        <v>6.7000000000000004E-2</v>
      </c>
      <c r="AI48" s="3">
        <v>6.6000000000000003E-2</v>
      </c>
      <c r="AJ48" s="3">
        <v>6.7000000000000004E-2</v>
      </c>
      <c r="AK48" s="3">
        <v>6.8000000000000005E-2</v>
      </c>
    </row>
    <row r="49" spans="1:37" x14ac:dyDescent="0.2">
      <c r="A49" s="2">
        <v>5.9837962962962961E-3</v>
      </c>
      <c r="B49" s="3">
        <v>0.154</v>
      </c>
      <c r="C49" s="3">
        <v>0.15</v>
      </c>
      <c r="D49" s="3">
        <v>0.14599999999999999</v>
      </c>
      <c r="E49" s="3">
        <v>0.17100000000000001</v>
      </c>
      <c r="F49" s="3">
        <v>0.158</v>
      </c>
      <c r="G49" s="3">
        <v>0.14899999999999999</v>
      </c>
      <c r="H49" s="3">
        <v>0.14399999999999999</v>
      </c>
      <c r="I49" s="3">
        <v>0.14799999999999999</v>
      </c>
      <c r="J49" s="3">
        <v>0.153</v>
      </c>
      <c r="K49" s="3">
        <v>0.14199999999999999</v>
      </c>
      <c r="L49" s="3">
        <v>0.14499999999999999</v>
      </c>
      <c r="M49" s="3">
        <v>0.14099999999999999</v>
      </c>
      <c r="N49" s="3">
        <v>0.153</v>
      </c>
      <c r="O49" s="3">
        <v>0.14799999999999999</v>
      </c>
      <c r="P49" s="3">
        <v>0.15</v>
      </c>
      <c r="Q49" s="3">
        <v>0.155</v>
      </c>
      <c r="R49" s="3">
        <v>0.14499999999999999</v>
      </c>
      <c r="S49" s="3">
        <v>0.15</v>
      </c>
      <c r="T49" s="3">
        <v>0.14599999999999999</v>
      </c>
      <c r="U49" s="3">
        <v>0.13600000000000001</v>
      </c>
      <c r="V49" s="3">
        <v>0.154</v>
      </c>
      <c r="W49" s="3">
        <v>0.16600000000000001</v>
      </c>
      <c r="X49" s="3">
        <v>0.14000000000000001</v>
      </c>
      <c r="Y49" s="3">
        <v>0.14299999999999999</v>
      </c>
      <c r="Z49" s="3">
        <v>0.157</v>
      </c>
      <c r="AA49" s="3">
        <v>0.151</v>
      </c>
      <c r="AB49" s="3">
        <v>0.14199999999999999</v>
      </c>
      <c r="AC49" s="3">
        <v>0.14199999999999999</v>
      </c>
      <c r="AD49" s="3">
        <v>0.14299999999999999</v>
      </c>
      <c r="AE49" s="3">
        <v>0.14099999999999999</v>
      </c>
      <c r="AF49" s="3">
        <v>0.14199999999999999</v>
      </c>
      <c r="AG49" s="3">
        <v>0.13900000000000001</v>
      </c>
      <c r="AH49" s="3">
        <v>6.7000000000000004E-2</v>
      </c>
      <c r="AI49" s="3">
        <v>6.6000000000000003E-2</v>
      </c>
      <c r="AJ49" s="3">
        <v>6.6000000000000003E-2</v>
      </c>
      <c r="AK49" s="3">
        <v>6.8000000000000005E-2</v>
      </c>
    </row>
    <row r="50" spans="1:37" x14ac:dyDescent="0.2">
      <c r="A50" s="2">
        <v>6.5277777777777782E-3</v>
      </c>
      <c r="B50" s="3">
        <v>0.157</v>
      </c>
      <c r="C50" s="3">
        <v>0.153</v>
      </c>
      <c r="D50" s="3">
        <v>0.14899999999999999</v>
      </c>
      <c r="E50" s="3">
        <v>0.17399999999999999</v>
      </c>
      <c r="F50" s="3">
        <v>0.16</v>
      </c>
      <c r="G50" s="3">
        <v>0.152</v>
      </c>
      <c r="H50" s="3">
        <v>0.14599999999999999</v>
      </c>
      <c r="I50" s="3">
        <v>0.14899999999999999</v>
      </c>
      <c r="J50" s="3">
        <v>0.155</v>
      </c>
      <c r="K50" s="3">
        <v>0.14299999999999999</v>
      </c>
      <c r="L50" s="3">
        <v>0.14699999999999999</v>
      </c>
      <c r="M50" s="3">
        <v>0.14199999999999999</v>
      </c>
      <c r="N50" s="3">
        <v>0.156</v>
      </c>
      <c r="O50" s="3">
        <v>0.15</v>
      </c>
      <c r="P50" s="3">
        <v>0.152</v>
      </c>
      <c r="Q50" s="3">
        <v>0.158</v>
      </c>
      <c r="R50" s="3">
        <v>0.14699999999999999</v>
      </c>
      <c r="S50" s="3">
        <v>0.152</v>
      </c>
      <c r="T50" s="3">
        <v>0.14899999999999999</v>
      </c>
      <c r="U50" s="3">
        <v>0.13700000000000001</v>
      </c>
      <c r="V50" s="3">
        <v>0.157</v>
      </c>
      <c r="W50" s="3">
        <v>0.17</v>
      </c>
      <c r="X50" s="3">
        <v>0.14199999999999999</v>
      </c>
      <c r="Y50" s="3">
        <v>0.14499999999999999</v>
      </c>
      <c r="Z50" s="3">
        <v>0.16</v>
      </c>
      <c r="AA50" s="3">
        <v>0.154</v>
      </c>
      <c r="AB50" s="3">
        <v>0.14399999999999999</v>
      </c>
      <c r="AC50" s="3">
        <v>0.14399999999999999</v>
      </c>
      <c r="AD50" s="3">
        <v>0.14499999999999999</v>
      </c>
      <c r="AE50" s="3">
        <v>0.14299999999999999</v>
      </c>
      <c r="AF50" s="3">
        <v>0.14499999999999999</v>
      </c>
      <c r="AG50" s="3">
        <v>0.14099999999999999</v>
      </c>
      <c r="AH50" s="3">
        <v>6.7000000000000004E-2</v>
      </c>
      <c r="AI50" s="3">
        <v>6.6000000000000003E-2</v>
      </c>
      <c r="AJ50" s="3">
        <v>6.7000000000000004E-2</v>
      </c>
      <c r="AK50" s="3">
        <v>6.8000000000000005E-2</v>
      </c>
    </row>
    <row r="51" spans="1:37" x14ac:dyDescent="0.2">
      <c r="B51">
        <f>SLOPE(B43:B50,$A$43:$A$50)</f>
        <v>4.1799392097264478</v>
      </c>
      <c r="C51">
        <f t="shared" ref="C51:I51" si="26">SLOPE(C43:C50,$A$43:$A$50)</f>
        <v>4.4863221884498419</v>
      </c>
      <c r="D51">
        <f t="shared" si="26"/>
        <v>3.6765957446808439</v>
      </c>
      <c r="E51">
        <f t="shared" si="26"/>
        <v>4.7489361702127653</v>
      </c>
      <c r="F51">
        <f t="shared" si="26"/>
        <v>4.2018237082066898</v>
      </c>
      <c r="G51">
        <f t="shared" si="26"/>
        <v>3.8297872340425494</v>
      </c>
      <c r="H51">
        <f t="shared" si="26"/>
        <v>3.1075987841945225</v>
      </c>
      <c r="I51">
        <f t="shared" si="26"/>
        <v>3.4358662613981705</v>
      </c>
      <c r="J51">
        <f t="shared" ref="J51" si="27">SLOPE(J43:J50,$A$43:$A$50)</f>
        <v>4.6176291793313045</v>
      </c>
      <c r="K51">
        <f t="shared" ref="K51" si="28">SLOPE(K43:K50,$A$43:$A$50)</f>
        <v>2.4510638297872283</v>
      </c>
      <c r="L51">
        <f t="shared" ref="L51" si="29">SLOPE(L43:L50,$A$43:$A$50)</f>
        <v>3.3483282674771968</v>
      </c>
      <c r="M51">
        <f t="shared" ref="M51" si="30">SLOPE(M43:M50,$A$43:$A$50)</f>
        <v>1.0942249240121518</v>
      </c>
      <c r="N51">
        <f t="shared" ref="N51" si="31">SLOPE(N43:N50,$A$43:$A$50)</f>
        <v>4.026747720364745</v>
      </c>
      <c r="O51">
        <f t="shared" ref="O51:Q51" si="32">SLOPE(O43:O50,$A$43:$A$50)</f>
        <v>3.348328267477199</v>
      </c>
      <c r="P51">
        <f t="shared" si="32"/>
        <v>4.0486322188449808</v>
      </c>
      <c r="Q51">
        <f t="shared" si="32"/>
        <v>4.1580547112462032</v>
      </c>
      <c r="R51">
        <f t="shared" ref="R51" si="33">SLOPE(R43:R50,$A$43:$A$50)</f>
        <v>3.9392097264437633</v>
      </c>
      <c r="S51">
        <f t="shared" ref="S51" si="34">SLOPE(S43:S50,$A$43:$A$50)</f>
        <v>4.0048632218844942</v>
      </c>
      <c r="T51">
        <f t="shared" ref="T51" si="35">SLOPE(T43:T50,$A$43:$A$50)</f>
        <v>3.6765957446808439</v>
      </c>
      <c r="U51">
        <f t="shared" ref="U51" si="36">SLOPE(U43:U50,$A$43:$A$50)</f>
        <v>1.9039513677811568</v>
      </c>
      <c r="V51">
        <f t="shared" ref="V51" si="37">SLOPE(V43:V50,$A$43:$A$50)</f>
        <v>3.9392097264437727</v>
      </c>
      <c r="W51">
        <f t="shared" ref="W51" si="38">SLOPE(W43:W50,$A$43:$A$50)</f>
        <v>3.9610942249240155</v>
      </c>
      <c r="X51">
        <f t="shared" ref="X51" si="39">SLOPE(X43:X50,$A$43:$A$50)</f>
        <v>2.3197568389057728</v>
      </c>
      <c r="Y51">
        <f t="shared" ref="Y51" si="40">SLOPE(Y43:Y50,$A$43:$A$50)</f>
        <v>2.8668693009118469</v>
      </c>
      <c r="Z51">
        <f t="shared" ref="Z51" si="41">SLOPE(Z43:Z50,$A$43:$A$50)</f>
        <v>5.0334346504559306</v>
      </c>
      <c r="AA51">
        <f t="shared" ref="AA51" si="42">SLOPE(AA43:AA50,$A$43:$A$50)</f>
        <v>3.9392097264437651</v>
      </c>
      <c r="AB51">
        <f t="shared" ref="AB51" si="43">SLOPE(AB43:AB50,$A$43:$A$50)</f>
        <v>2.9981762917933064</v>
      </c>
      <c r="AC51">
        <f t="shared" ref="AC51" si="44">SLOPE(AC43:AC50,$A$43:$A$50)</f>
        <v>3.0857142857142787</v>
      </c>
      <c r="AD51">
        <f t="shared" ref="AD51" si="45">SLOPE(AD43:AD50,$A$43:$A$50)</f>
        <v>3.6765957446808444</v>
      </c>
      <c r="AE51">
        <f t="shared" ref="AE51:AF51" si="46">SLOPE(AE43:AE50,$A$43:$A$50)</f>
        <v>2.9325227963525791</v>
      </c>
      <c r="AF51">
        <f t="shared" si="46"/>
        <v>3.6765957446808466</v>
      </c>
      <c r="AG51">
        <f t="shared" ref="AG51" si="47">SLOPE(AG43:AG50,$A$43:$A$50)</f>
        <v>2.823100303951366</v>
      </c>
      <c r="AH51">
        <f t="shared" ref="AH51" si="48">SLOPE(AH43:AH50,$A$43:$A$50)</f>
        <v>0</v>
      </c>
      <c r="AI51">
        <f t="shared" ref="AI51" si="49">SLOPE(AI43:AI50,$A$43:$A$50)</f>
        <v>0</v>
      </c>
      <c r="AJ51">
        <f t="shared" ref="AJ51" si="50">SLOPE(AJ43:AJ50,$A$43:$A$50)</f>
        <v>-0.10942249240121588</v>
      </c>
      <c r="AK51">
        <f t="shared" ref="AK51" si="51">SLOPE(AK43:AK50,$A$43:$A$50)</f>
        <v>0</v>
      </c>
    </row>
    <row r="54" spans="1:37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10</v>
      </c>
      <c r="K54" t="s">
        <v>11</v>
      </c>
      <c r="L54" t="s">
        <v>12</v>
      </c>
      <c r="M54" t="s">
        <v>13</v>
      </c>
      <c r="N54" t="s">
        <v>14</v>
      </c>
      <c r="O54" t="s">
        <v>15</v>
      </c>
      <c r="P54" t="s">
        <v>16</v>
      </c>
      <c r="Q54" t="s">
        <v>17</v>
      </c>
      <c r="R54" s="1" t="s">
        <v>19</v>
      </c>
      <c r="S54" s="1" t="s">
        <v>20</v>
      </c>
      <c r="T54" s="1" t="s">
        <v>21</v>
      </c>
      <c r="U54" s="1" t="s">
        <v>22</v>
      </c>
      <c r="V54" s="1" t="s">
        <v>23</v>
      </c>
      <c r="W54" s="1" t="s">
        <v>24</v>
      </c>
      <c r="X54" s="1" t="s">
        <v>25</v>
      </c>
      <c r="Y54" s="1" t="s">
        <v>26</v>
      </c>
      <c r="Z54" s="1" t="s">
        <v>29</v>
      </c>
      <c r="AA54" s="1" t="s">
        <v>30</v>
      </c>
      <c r="AB54" s="1" t="s">
        <v>31</v>
      </c>
      <c r="AC54" s="1" t="s">
        <v>32</v>
      </c>
      <c r="AD54" s="1" t="s">
        <v>33</v>
      </c>
      <c r="AE54" s="1" t="s">
        <v>34</v>
      </c>
      <c r="AF54" s="1" t="s">
        <v>35</v>
      </c>
      <c r="AG54" s="1" t="s">
        <v>36</v>
      </c>
    </row>
    <row r="55" spans="1:37" x14ac:dyDescent="0.2">
      <c r="A55">
        <v>0</v>
      </c>
      <c r="B55">
        <v>0.13500000000000001</v>
      </c>
      <c r="C55">
        <v>0.13300000000000001</v>
      </c>
      <c r="D55">
        <v>0.13100000000000001</v>
      </c>
      <c r="E55">
        <v>0.129</v>
      </c>
      <c r="F55">
        <v>0.123</v>
      </c>
      <c r="G55">
        <v>0.13200000000000001</v>
      </c>
      <c r="H55">
        <v>0.129</v>
      </c>
      <c r="I55">
        <v>0.128</v>
      </c>
      <c r="J55">
        <v>0.129</v>
      </c>
      <c r="K55">
        <v>0.128</v>
      </c>
      <c r="L55">
        <v>0.13</v>
      </c>
      <c r="M55">
        <v>0.13</v>
      </c>
      <c r="N55">
        <v>0.129</v>
      </c>
      <c r="O55">
        <v>0.13300000000000001</v>
      </c>
      <c r="P55">
        <v>0.13100000000000001</v>
      </c>
      <c r="Q55">
        <v>0.124</v>
      </c>
      <c r="R55" s="3">
        <v>0.128</v>
      </c>
      <c r="S55" s="3">
        <v>0.127</v>
      </c>
      <c r="T55" s="3">
        <v>0.126</v>
      </c>
      <c r="U55" s="3">
        <v>0.122</v>
      </c>
      <c r="V55" s="3">
        <v>0.125</v>
      </c>
      <c r="W55" s="3">
        <v>0.126</v>
      </c>
      <c r="X55" s="3">
        <v>0.127</v>
      </c>
      <c r="Y55" s="3">
        <v>0.122</v>
      </c>
      <c r="Z55" s="3">
        <v>0.13</v>
      </c>
      <c r="AA55" s="3">
        <v>0.128</v>
      </c>
      <c r="AB55" s="3">
        <v>0.129</v>
      </c>
      <c r="AC55" s="3">
        <v>0.13200000000000001</v>
      </c>
      <c r="AD55" s="3">
        <v>0.123</v>
      </c>
      <c r="AE55" s="3">
        <v>0.124</v>
      </c>
      <c r="AF55" s="3">
        <v>0.128</v>
      </c>
      <c r="AG55" s="3">
        <v>0.12</v>
      </c>
    </row>
    <row r="56" spans="1:37" x14ac:dyDescent="0.2">
      <c r="A56">
        <v>5.4398148148148144E-4</v>
      </c>
      <c r="B56">
        <v>0.13600000000000001</v>
      </c>
      <c r="C56">
        <v>0.13400000000000001</v>
      </c>
      <c r="D56">
        <v>0.13200000000000001</v>
      </c>
      <c r="E56">
        <v>0.13</v>
      </c>
      <c r="F56">
        <v>0.124</v>
      </c>
      <c r="G56">
        <v>0.13300000000000001</v>
      </c>
      <c r="H56">
        <v>0.13</v>
      </c>
      <c r="I56">
        <v>0.129</v>
      </c>
      <c r="J56">
        <v>0.13</v>
      </c>
      <c r="K56">
        <v>0.129</v>
      </c>
      <c r="L56">
        <v>0.13</v>
      </c>
      <c r="M56">
        <v>0.13100000000000001</v>
      </c>
      <c r="N56">
        <v>0.13</v>
      </c>
      <c r="O56">
        <v>0.13500000000000001</v>
      </c>
      <c r="P56">
        <v>0.13200000000000001</v>
      </c>
      <c r="Q56">
        <v>0.124</v>
      </c>
      <c r="R56" s="3">
        <v>0.128</v>
      </c>
      <c r="S56" s="3">
        <v>0.128</v>
      </c>
      <c r="T56" s="3">
        <v>0.127</v>
      </c>
      <c r="U56" s="3">
        <v>0.124</v>
      </c>
      <c r="V56" s="3">
        <v>0.126</v>
      </c>
      <c r="W56" s="3">
        <v>0.127</v>
      </c>
      <c r="X56" s="3">
        <v>0.128</v>
      </c>
      <c r="Y56" s="3">
        <v>0.123</v>
      </c>
      <c r="Z56" s="3">
        <v>0.13100000000000001</v>
      </c>
      <c r="AA56" s="3">
        <v>0.128</v>
      </c>
      <c r="AB56" s="3">
        <v>0.129</v>
      </c>
      <c r="AC56" s="3">
        <v>0.13200000000000001</v>
      </c>
      <c r="AD56" s="3">
        <v>0.123</v>
      </c>
      <c r="AE56" s="3">
        <v>0.124</v>
      </c>
      <c r="AF56" s="3">
        <v>0.128</v>
      </c>
      <c r="AG56" s="3">
        <v>0.12</v>
      </c>
    </row>
    <row r="57" spans="1:37" x14ac:dyDescent="0.2">
      <c r="A57">
        <v>1.0879629629629629E-3</v>
      </c>
      <c r="B57">
        <v>0.13800000000000001</v>
      </c>
      <c r="C57">
        <v>0.13500000000000001</v>
      </c>
      <c r="D57">
        <v>0.13400000000000001</v>
      </c>
      <c r="E57">
        <v>0.13100000000000001</v>
      </c>
      <c r="F57">
        <v>0.125</v>
      </c>
      <c r="G57">
        <v>0.13400000000000001</v>
      </c>
      <c r="H57">
        <v>0.13200000000000001</v>
      </c>
      <c r="I57">
        <v>0.13</v>
      </c>
      <c r="J57">
        <v>0.13100000000000001</v>
      </c>
      <c r="K57">
        <v>0.13100000000000001</v>
      </c>
      <c r="L57">
        <v>0.13100000000000001</v>
      </c>
      <c r="M57">
        <v>0.13200000000000001</v>
      </c>
      <c r="N57">
        <v>0.13100000000000001</v>
      </c>
      <c r="O57">
        <v>0.13600000000000001</v>
      </c>
      <c r="P57">
        <v>0.13300000000000001</v>
      </c>
      <c r="Q57">
        <v>0.125</v>
      </c>
      <c r="R57" s="3">
        <v>0.13</v>
      </c>
      <c r="S57" s="3">
        <v>0.129</v>
      </c>
      <c r="T57" s="3">
        <v>0.128</v>
      </c>
      <c r="U57" s="3">
        <v>0.125</v>
      </c>
      <c r="V57" s="3">
        <v>0.127</v>
      </c>
      <c r="W57" s="3">
        <v>0.128</v>
      </c>
      <c r="X57" s="3">
        <v>0.128</v>
      </c>
      <c r="Y57" s="3">
        <v>0.124</v>
      </c>
      <c r="Z57" s="3">
        <v>0.13200000000000001</v>
      </c>
      <c r="AA57" s="3">
        <v>0.129</v>
      </c>
      <c r="AB57" s="3">
        <v>0.13</v>
      </c>
      <c r="AC57" s="3">
        <v>0.13300000000000001</v>
      </c>
      <c r="AD57" s="3">
        <v>0.124</v>
      </c>
      <c r="AE57" s="3">
        <v>0.125</v>
      </c>
      <c r="AF57" s="3">
        <v>0.129</v>
      </c>
      <c r="AG57" s="3">
        <v>0.121</v>
      </c>
    </row>
    <row r="58" spans="1:37" x14ac:dyDescent="0.2">
      <c r="A58">
        <v>1.6319444444444445E-3</v>
      </c>
      <c r="B58">
        <v>0.13900000000000001</v>
      </c>
      <c r="C58">
        <v>0.13700000000000001</v>
      </c>
      <c r="D58">
        <v>0.13500000000000001</v>
      </c>
      <c r="E58">
        <v>0.13300000000000001</v>
      </c>
      <c r="F58">
        <v>0.126</v>
      </c>
      <c r="G58">
        <v>0.13600000000000001</v>
      </c>
      <c r="H58">
        <v>0.13400000000000001</v>
      </c>
      <c r="I58">
        <v>0.13100000000000001</v>
      </c>
      <c r="J58">
        <v>0.13300000000000001</v>
      </c>
      <c r="K58">
        <v>0.13200000000000001</v>
      </c>
      <c r="L58">
        <v>0.13200000000000001</v>
      </c>
      <c r="M58">
        <v>0.13300000000000001</v>
      </c>
      <c r="N58">
        <v>0.13200000000000001</v>
      </c>
      <c r="O58">
        <v>0.13800000000000001</v>
      </c>
      <c r="P58">
        <v>0.13400000000000001</v>
      </c>
      <c r="Q58">
        <v>0.126</v>
      </c>
      <c r="R58" s="3">
        <v>0.13100000000000001</v>
      </c>
      <c r="S58" s="3">
        <v>0.13</v>
      </c>
      <c r="T58" s="3">
        <v>0.129</v>
      </c>
      <c r="U58" s="3">
        <v>0.127</v>
      </c>
      <c r="V58" s="3">
        <v>0.129</v>
      </c>
      <c r="W58" s="3">
        <v>0.129</v>
      </c>
      <c r="X58" s="3">
        <v>0.129</v>
      </c>
      <c r="Y58" s="3">
        <v>0.125</v>
      </c>
      <c r="Z58" s="3">
        <v>0.13400000000000001</v>
      </c>
      <c r="AA58" s="3">
        <v>0.13</v>
      </c>
      <c r="AB58" s="3">
        <v>0.13</v>
      </c>
      <c r="AC58" s="3">
        <v>0.13500000000000001</v>
      </c>
      <c r="AD58" s="3">
        <v>0.125</v>
      </c>
      <c r="AE58" s="3">
        <v>0.125</v>
      </c>
      <c r="AF58" s="3">
        <v>0.13</v>
      </c>
      <c r="AG58" s="3">
        <v>0.121</v>
      </c>
    </row>
    <row r="59" spans="1:37" x14ac:dyDescent="0.2">
      <c r="A59">
        <v>2.1759259259259258E-3</v>
      </c>
      <c r="B59">
        <v>0.14000000000000001</v>
      </c>
      <c r="C59">
        <v>0.13900000000000001</v>
      </c>
      <c r="D59">
        <v>0.13700000000000001</v>
      </c>
      <c r="E59">
        <v>0.13500000000000001</v>
      </c>
      <c r="F59">
        <v>0.128</v>
      </c>
      <c r="G59">
        <v>0.13700000000000001</v>
      </c>
      <c r="H59">
        <v>0.13500000000000001</v>
      </c>
      <c r="I59">
        <v>0.13300000000000001</v>
      </c>
      <c r="J59">
        <v>0.13400000000000001</v>
      </c>
      <c r="K59">
        <v>0.13300000000000001</v>
      </c>
      <c r="L59">
        <v>0.13300000000000001</v>
      </c>
      <c r="M59">
        <v>0.13400000000000001</v>
      </c>
      <c r="N59">
        <v>0.13300000000000001</v>
      </c>
      <c r="O59">
        <v>0.13900000000000001</v>
      </c>
      <c r="P59">
        <v>0.13600000000000001</v>
      </c>
      <c r="Q59">
        <v>0.127</v>
      </c>
      <c r="R59" s="3">
        <v>0.13200000000000001</v>
      </c>
      <c r="S59" s="3">
        <v>0.13</v>
      </c>
      <c r="T59" s="3">
        <v>0.13</v>
      </c>
      <c r="U59" s="3">
        <v>0.129</v>
      </c>
      <c r="V59" s="3">
        <v>0.13</v>
      </c>
      <c r="W59" s="3">
        <v>0.13</v>
      </c>
      <c r="X59" s="3">
        <v>0.13</v>
      </c>
      <c r="Y59" s="3">
        <v>0.126</v>
      </c>
      <c r="Z59" s="3">
        <v>0.13400000000000001</v>
      </c>
      <c r="AA59" s="3">
        <v>0.13100000000000001</v>
      </c>
      <c r="AB59" s="3">
        <v>0.13100000000000001</v>
      </c>
      <c r="AC59" s="3">
        <v>0.13600000000000001</v>
      </c>
      <c r="AD59" s="3">
        <v>0.125</v>
      </c>
      <c r="AE59" s="3">
        <v>0.126</v>
      </c>
      <c r="AF59" s="3">
        <v>0.13100000000000001</v>
      </c>
      <c r="AG59" s="3">
        <v>0.123</v>
      </c>
    </row>
    <row r="60" spans="1:37" x14ac:dyDescent="0.2">
      <c r="A60">
        <v>2.7199074074074074E-3</v>
      </c>
      <c r="B60">
        <v>0.14099999999999999</v>
      </c>
      <c r="C60">
        <v>0.14099999999999999</v>
      </c>
      <c r="D60">
        <v>0.14000000000000001</v>
      </c>
      <c r="E60">
        <v>0.13600000000000001</v>
      </c>
      <c r="F60">
        <v>0.129</v>
      </c>
      <c r="G60">
        <v>0.13900000000000001</v>
      </c>
      <c r="H60">
        <v>0.13700000000000001</v>
      </c>
      <c r="I60">
        <v>0.13400000000000001</v>
      </c>
      <c r="J60">
        <v>0.13600000000000001</v>
      </c>
      <c r="K60">
        <v>0.13500000000000001</v>
      </c>
      <c r="L60">
        <v>0.13400000000000001</v>
      </c>
      <c r="M60">
        <v>0.13500000000000001</v>
      </c>
      <c r="N60">
        <v>0.13400000000000001</v>
      </c>
      <c r="O60">
        <v>0.14000000000000001</v>
      </c>
      <c r="P60">
        <v>0.13700000000000001</v>
      </c>
      <c r="Q60">
        <v>0.128</v>
      </c>
      <c r="R60" s="3">
        <v>0.13400000000000001</v>
      </c>
      <c r="S60" s="3">
        <v>0.13200000000000001</v>
      </c>
      <c r="T60" s="3">
        <v>0.13100000000000001</v>
      </c>
      <c r="U60" s="3">
        <v>0.13</v>
      </c>
      <c r="V60" s="3">
        <v>0.13100000000000001</v>
      </c>
      <c r="W60" s="3">
        <v>0.13100000000000001</v>
      </c>
      <c r="X60" s="3">
        <v>0.13100000000000001</v>
      </c>
      <c r="Y60" s="3">
        <v>0.127</v>
      </c>
      <c r="Z60" s="3">
        <v>0.13600000000000001</v>
      </c>
      <c r="AA60" s="3">
        <v>0.13300000000000001</v>
      </c>
      <c r="AB60" s="3">
        <v>0.13100000000000001</v>
      </c>
      <c r="AC60" s="3">
        <v>0.13800000000000001</v>
      </c>
      <c r="AD60" s="3">
        <v>0.126</v>
      </c>
      <c r="AE60" s="3">
        <v>0.127</v>
      </c>
      <c r="AF60" s="3">
        <v>0.13200000000000001</v>
      </c>
      <c r="AG60" s="3">
        <v>0.123</v>
      </c>
    </row>
    <row r="61" spans="1:37" x14ac:dyDescent="0.2">
      <c r="A61">
        <v>3.2638888888888891E-3</v>
      </c>
      <c r="B61">
        <v>0.14299999999999999</v>
      </c>
      <c r="C61">
        <v>0.14199999999999999</v>
      </c>
      <c r="D61">
        <v>0.14399999999999999</v>
      </c>
      <c r="E61">
        <v>0.13800000000000001</v>
      </c>
      <c r="F61">
        <v>0.13</v>
      </c>
      <c r="G61">
        <v>0.14099999999999999</v>
      </c>
      <c r="H61">
        <v>0.14000000000000001</v>
      </c>
      <c r="I61">
        <v>0.13600000000000001</v>
      </c>
      <c r="J61">
        <v>0.13800000000000001</v>
      </c>
      <c r="K61">
        <v>0.13700000000000001</v>
      </c>
      <c r="L61">
        <v>0.13500000000000001</v>
      </c>
      <c r="M61">
        <v>0.13700000000000001</v>
      </c>
      <c r="N61">
        <v>0.13600000000000001</v>
      </c>
      <c r="O61">
        <v>0.14199999999999999</v>
      </c>
      <c r="P61">
        <v>0.13900000000000001</v>
      </c>
      <c r="Q61">
        <v>0.129</v>
      </c>
      <c r="R61" s="3">
        <v>0.13500000000000001</v>
      </c>
      <c r="S61" s="3">
        <v>0.13300000000000001</v>
      </c>
      <c r="T61" s="3">
        <v>0.13300000000000001</v>
      </c>
      <c r="U61" s="3">
        <v>0.13200000000000001</v>
      </c>
      <c r="V61" s="3">
        <v>0.13300000000000001</v>
      </c>
      <c r="W61" s="3">
        <v>0.13200000000000001</v>
      </c>
      <c r="X61" s="3">
        <v>0.13200000000000001</v>
      </c>
      <c r="Y61" s="3">
        <v>0.128</v>
      </c>
      <c r="Z61" s="3">
        <v>0.13800000000000001</v>
      </c>
      <c r="AA61" s="3">
        <v>0.13400000000000001</v>
      </c>
      <c r="AB61" s="3">
        <v>0.13200000000000001</v>
      </c>
      <c r="AC61" s="3">
        <v>0.14000000000000001</v>
      </c>
      <c r="AD61" s="3">
        <v>0.126</v>
      </c>
      <c r="AE61" s="3">
        <v>0.128</v>
      </c>
      <c r="AF61" s="3">
        <v>0.13400000000000001</v>
      </c>
      <c r="AG61" s="3">
        <v>0.125</v>
      </c>
    </row>
    <row r="62" spans="1:37" x14ac:dyDescent="0.2">
      <c r="A62">
        <v>3.8078703703703703E-3</v>
      </c>
      <c r="B62">
        <v>0.14499999999999999</v>
      </c>
      <c r="C62">
        <v>0.14499999999999999</v>
      </c>
      <c r="D62">
        <v>0.14299999999999999</v>
      </c>
      <c r="E62">
        <v>0.14000000000000001</v>
      </c>
      <c r="F62">
        <v>0.13200000000000001</v>
      </c>
      <c r="G62">
        <v>0.14199999999999999</v>
      </c>
      <c r="H62">
        <v>0.14199999999999999</v>
      </c>
      <c r="I62">
        <v>0.13800000000000001</v>
      </c>
      <c r="J62">
        <v>0.14000000000000001</v>
      </c>
      <c r="K62">
        <v>0.13900000000000001</v>
      </c>
      <c r="L62">
        <v>0.13700000000000001</v>
      </c>
      <c r="M62">
        <v>0.13800000000000001</v>
      </c>
      <c r="N62">
        <v>0.13700000000000001</v>
      </c>
      <c r="O62">
        <v>0.14399999999999999</v>
      </c>
      <c r="P62">
        <v>0.14000000000000001</v>
      </c>
      <c r="Q62">
        <v>0.13100000000000001</v>
      </c>
      <c r="R62" s="3">
        <v>0.13700000000000001</v>
      </c>
      <c r="S62" s="3">
        <v>0.13400000000000001</v>
      </c>
      <c r="T62" s="3">
        <v>0.13500000000000001</v>
      </c>
      <c r="U62" s="3">
        <v>0.13400000000000001</v>
      </c>
      <c r="V62" s="3">
        <v>0.13400000000000001</v>
      </c>
      <c r="W62" s="3">
        <v>0.13400000000000001</v>
      </c>
      <c r="X62" s="3">
        <v>0.13300000000000001</v>
      </c>
      <c r="Y62" s="3">
        <v>0.13</v>
      </c>
      <c r="Z62" s="3">
        <v>0.13900000000000001</v>
      </c>
      <c r="AA62" s="3">
        <v>0.13600000000000001</v>
      </c>
      <c r="AB62" s="3">
        <v>0.13200000000000001</v>
      </c>
      <c r="AC62" s="3">
        <v>0.14099999999999999</v>
      </c>
      <c r="AD62" s="3">
        <v>0.127</v>
      </c>
      <c r="AE62" s="3">
        <v>0.129</v>
      </c>
      <c r="AF62" s="3">
        <v>0.13500000000000001</v>
      </c>
      <c r="AG62" s="3">
        <v>0.126</v>
      </c>
    </row>
    <row r="63" spans="1:37" x14ac:dyDescent="0.2">
      <c r="A63">
        <v>4.3518518518518515E-3</v>
      </c>
      <c r="B63">
        <v>0.14799999999999999</v>
      </c>
      <c r="C63">
        <v>0.14699999999999999</v>
      </c>
      <c r="D63">
        <v>0.14499999999999999</v>
      </c>
      <c r="E63">
        <v>0.14199999999999999</v>
      </c>
      <c r="F63">
        <v>0.13400000000000001</v>
      </c>
      <c r="G63">
        <v>0.14499999999999999</v>
      </c>
      <c r="H63">
        <v>0.14499999999999999</v>
      </c>
      <c r="I63">
        <v>0.14099999999999999</v>
      </c>
      <c r="J63">
        <v>0.14199999999999999</v>
      </c>
      <c r="K63">
        <v>0.14099999999999999</v>
      </c>
      <c r="L63">
        <v>0.13800000000000001</v>
      </c>
      <c r="M63">
        <v>0.14000000000000001</v>
      </c>
      <c r="N63">
        <v>0.13900000000000001</v>
      </c>
      <c r="O63">
        <v>0.14699999999999999</v>
      </c>
      <c r="P63">
        <v>0.14199999999999999</v>
      </c>
      <c r="Q63">
        <v>0.13300000000000001</v>
      </c>
      <c r="R63" s="3">
        <v>0.13900000000000001</v>
      </c>
      <c r="S63" s="3">
        <v>0.13600000000000001</v>
      </c>
      <c r="T63" s="3">
        <v>0.13600000000000001</v>
      </c>
      <c r="U63" s="3">
        <v>0.13600000000000001</v>
      </c>
      <c r="V63" s="3">
        <v>0.13600000000000001</v>
      </c>
      <c r="W63" s="3">
        <v>0.13500000000000001</v>
      </c>
      <c r="X63" s="3">
        <v>0.13500000000000001</v>
      </c>
      <c r="Y63" s="3">
        <v>0.13100000000000001</v>
      </c>
      <c r="Z63" s="3">
        <v>0.14199999999999999</v>
      </c>
      <c r="AA63" s="3">
        <v>0.13800000000000001</v>
      </c>
      <c r="AB63" s="3">
        <v>0.13300000000000001</v>
      </c>
      <c r="AC63" s="3">
        <v>0.14299999999999999</v>
      </c>
      <c r="AD63" s="3">
        <v>0.128</v>
      </c>
      <c r="AE63" s="3">
        <v>0.13</v>
      </c>
      <c r="AF63" s="3">
        <v>0.13600000000000001</v>
      </c>
      <c r="AG63" s="3">
        <v>0.128</v>
      </c>
    </row>
    <row r="64" spans="1:37" x14ac:dyDescent="0.2">
      <c r="A64">
        <v>4.8958333333333336E-3</v>
      </c>
      <c r="B64">
        <v>0.15</v>
      </c>
      <c r="C64">
        <v>0.15</v>
      </c>
      <c r="D64">
        <v>0.14799999999999999</v>
      </c>
      <c r="E64">
        <v>0.14399999999999999</v>
      </c>
      <c r="F64">
        <v>0.13600000000000001</v>
      </c>
      <c r="G64">
        <v>0.14699999999999999</v>
      </c>
      <c r="H64">
        <v>0.14799999999999999</v>
      </c>
      <c r="I64">
        <v>0.14099999999999999</v>
      </c>
      <c r="J64">
        <v>0.14399999999999999</v>
      </c>
      <c r="K64">
        <v>0.14299999999999999</v>
      </c>
      <c r="L64">
        <v>0.14000000000000001</v>
      </c>
      <c r="M64">
        <v>0.14199999999999999</v>
      </c>
      <c r="N64">
        <v>0.14099999999999999</v>
      </c>
      <c r="O64">
        <v>0.14899999999999999</v>
      </c>
      <c r="P64">
        <v>0.14399999999999999</v>
      </c>
      <c r="Q64">
        <v>0.13400000000000001</v>
      </c>
      <c r="R64" s="3">
        <v>0.14099999999999999</v>
      </c>
      <c r="S64" s="3">
        <v>0.13700000000000001</v>
      </c>
      <c r="T64" s="3">
        <v>0.13800000000000001</v>
      </c>
      <c r="U64" s="3">
        <v>0.13800000000000001</v>
      </c>
      <c r="V64" s="3">
        <v>0.13800000000000001</v>
      </c>
      <c r="W64" s="3">
        <v>0.13700000000000001</v>
      </c>
      <c r="X64" s="3">
        <v>0.13600000000000001</v>
      </c>
      <c r="Y64" s="3">
        <v>0.13300000000000001</v>
      </c>
      <c r="Z64" s="3">
        <v>0.14399999999999999</v>
      </c>
      <c r="AA64" s="3">
        <v>0.14000000000000001</v>
      </c>
      <c r="AB64" s="3">
        <v>0.13400000000000001</v>
      </c>
      <c r="AC64" s="3">
        <v>0.14499999999999999</v>
      </c>
      <c r="AD64" s="3">
        <v>0.129</v>
      </c>
      <c r="AE64" s="3">
        <v>0.13100000000000001</v>
      </c>
      <c r="AF64" s="3">
        <v>0.13800000000000001</v>
      </c>
      <c r="AG64" s="3">
        <v>0.129</v>
      </c>
    </row>
    <row r="65" spans="1:33" x14ac:dyDescent="0.2">
      <c r="A65">
        <v>5.4398148148148149E-3</v>
      </c>
      <c r="B65">
        <v>0.152</v>
      </c>
      <c r="C65">
        <v>0.152</v>
      </c>
      <c r="D65">
        <v>0.15</v>
      </c>
      <c r="E65">
        <v>0.14699999999999999</v>
      </c>
      <c r="F65">
        <v>0.13800000000000001</v>
      </c>
      <c r="G65">
        <v>0.15</v>
      </c>
      <c r="H65">
        <v>0.15</v>
      </c>
      <c r="I65">
        <v>0.14399999999999999</v>
      </c>
      <c r="J65">
        <v>0.14599999999999999</v>
      </c>
      <c r="K65">
        <v>0.14499999999999999</v>
      </c>
      <c r="L65">
        <v>0.14099999999999999</v>
      </c>
      <c r="M65">
        <v>0.14399999999999999</v>
      </c>
      <c r="N65">
        <v>0.14299999999999999</v>
      </c>
      <c r="O65">
        <v>0.151</v>
      </c>
      <c r="P65">
        <v>0.14599999999999999</v>
      </c>
      <c r="Q65">
        <v>0.13600000000000001</v>
      </c>
      <c r="R65" s="3">
        <v>0.14199999999999999</v>
      </c>
      <c r="S65" s="3">
        <v>0.13900000000000001</v>
      </c>
      <c r="T65" s="3">
        <v>0.14000000000000001</v>
      </c>
      <c r="U65" s="3">
        <v>0.14000000000000001</v>
      </c>
      <c r="V65" s="3">
        <v>0.14000000000000001</v>
      </c>
      <c r="W65" s="3">
        <v>0.13900000000000001</v>
      </c>
      <c r="X65" s="3">
        <v>0.13800000000000001</v>
      </c>
      <c r="Y65" s="3">
        <v>0.13500000000000001</v>
      </c>
      <c r="Z65" s="3">
        <v>0.14599999999999999</v>
      </c>
      <c r="AA65" s="3">
        <v>0.14099999999999999</v>
      </c>
      <c r="AB65" s="3">
        <v>0.13400000000000001</v>
      </c>
      <c r="AC65" s="3">
        <v>0.14699999999999999</v>
      </c>
      <c r="AD65" s="3">
        <v>0.13</v>
      </c>
      <c r="AE65" s="3">
        <v>0.13200000000000001</v>
      </c>
      <c r="AF65" s="3">
        <v>0.14000000000000001</v>
      </c>
      <c r="AG65" s="3">
        <v>0.13</v>
      </c>
    </row>
    <row r="66" spans="1:33" x14ac:dyDescent="0.2">
      <c r="A66">
        <v>5.9837962962962961E-3</v>
      </c>
      <c r="B66">
        <v>0.155</v>
      </c>
      <c r="C66">
        <v>0.154</v>
      </c>
      <c r="D66">
        <v>0.153</v>
      </c>
      <c r="E66">
        <v>0.14899999999999999</v>
      </c>
      <c r="F66">
        <v>0.14000000000000001</v>
      </c>
      <c r="G66">
        <v>0.152</v>
      </c>
      <c r="H66">
        <v>0.153</v>
      </c>
      <c r="I66">
        <v>0.14799999999999999</v>
      </c>
      <c r="J66">
        <v>0.14899999999999999</v>
      </c>
      <c r="K66">
        <v>0.14699999999999999</v>
      </c>
      <c r="L66">
        <v>0.14299999999999999</v>
      </c>
      <c r="M66">
        <v>0.14599999999999999</v>
      </c>
      <c r="N66">
        <v>0.14499999999999999</v>
      </c>
      <c r="O66">
        <v>0.154</v>
      </c>
      <c r="P66">
        <v>0.14799999999999999</v>
      </c>
      <c r="Q66">
        <v>0.13800000000000001</v>
      </c>
      <c r="R66" s="3">
        <v>0.14399999999999999</v>
      </c>
      <c r="S66" s="3">
        <v>0.14099999999999999</v>
      </c>
      <c r="T66" s="3">
        <v>0.14199999999999999</v>
      </c>
      <c r="U66" s="3">
        <v>0.14199999999999999</v>
      </c>
      <c r="V66" s="3">
        <v>0.14199999999999999</v>
      </c>
      <c r="W66" s="3">
        <v>0.14000000000000001</v>
      </c>
      <c r="X66" s="3">
        <v>0.14000000000000001</v>
      </c>
      <c r="Y66" s="3">
        <v>0.13700000000000001</v>
      </c>
      <c r="Z66" s="3">
        <v>0.14799999999999999</v>
      </c>
      <c r="AA66" s="3">
        <v>0.14299999999999999</v>
      </c>
      <c r="AB66" s="3">
        <v>0.13600000000000001</v>
      </c>
      <c r="AC66" s="3">
        <v>0.15</v>
      </c>
      <c r="AD66" s="3">
        <v>0.13100000000000001</v>
      </c>
      <c r="AE66" s="3">
        <v>0.13300000000000001</v>
      </c>
      <c r="AF66" s="3">
        <v>0.14199999999999999</v>
      </c>
      <c r="AG66" s="3">
        <v>0.13200000000000001</v>
      </c>
    </row>
    <row r="67" spans="1:33" x14ac:dyDescent="0.2">
      <c r="A67">
        <v>6.5277777777777782E-3</v>
      </c>
      <c r="B67">
        <v>0.158</v>
      </c>
      <c r="C67">
        <v>0.157</v>
      </c>
      <c r="D67">
        <v>0.155</v>
      </c>
      <c r="E67">
        <v>0.151</v>
      </c>
      <c r="F67">
        <v>0.14199999999999999</v>
      </c>
      <c r="G67">
        <v>0.154</v>
      </c>
      <c r="H67">
        <v>0.156</v>
      </c>
      <c r="I67">
        <v>0.14899999999999999</v>
      </c>
      <c r="J67">
        <v>0.151</v>
      </c>
      <c r="K67">
        <v>0.14899999999999999</v>
      </c>
      <c r="L67">
        <v>0.14499999999999999</v>
      </c>
      <c r="M67">
        <v>0.14799999999999999</v>
      </c>
      <c r="N67">
        <v>0.14699999999999999</v>
      </c>
      <c r="O67">
        <v>0.156</v>
      </c>
      <c r="P67">
        <v>0.151</v>
      </c>
      <c r="Q67">
        <v>0.13900000000000001</v>
      </c>
      <c r="R67" s="3">
        <v>0.14599999999999999</v>
      </c>
      <c r="S67" s="3">
        <v>0.14299999999999999</v>
      </c>
      <c r="T67" s="3">
        <v>0.14399999999999999</v>
      </c>
      <c r="U67" s="3">
        <v>0.14499999999999999</v>
      </c>
      <c r="V67" s="3">
        <v>0.14399999999999999</v>
      </c>
      <c r="W67" s="3">
        <v>0.14199999999999999</v>
      </c>
      <c r="X67" s="3">
        <v>0.14199999999999999</v>
      </c>
      <c r="Y67" s="3">
        <v>0.13900000000000001</v>
      </c>
      <c r="Z67" s="3">
        <v>0.151</v>
      </c>
      <c r="AA67" s="3">
        <v>0.14499999999999999</v>
      </c>
      <c r="AB67" s="3">
        <v>0.13600000000000001</v>
      </c>
      <c r="AC67" s="3">
        <v>0.152</v>
      </c>
      <c r="AD67" s="3">
        <v>0.13300000000000001</v>
      </c>
      <c r="AE67" s="3">
        <v>0.13500000000000001</v>
      </c>
      <c r="AF67" s="3">
        <v>0.14399999999999999</v>
      </c>
      <c r="AG67" s="3">
        <v>0.13400000000000001</v>
      </c>
    </row>
    <row r="68" spans="1:33" x14ac:dyDescent="0.2">
      <c r="B68">
        <v>4.4206686930091221</v>
      </c>
      <c r="C68">
        <v>4.2893617021276622</v>
      </c>
      <c r="D68">
        <v>3.8079027355623087</v>
      </c>
      <c r="E68">
        <v>4.0048632218844924</v>
      </c>
      <c r="F68">
        <v>3.5234042553191474</v>
      </c>
      <c r="G68">
        <v>4.0705167173252272</v>
      </c>
      <c r="H68">
        <v>4.9240121580547083</v>
      </c>
      <c r="I68">
        <v>4.0048632218844924</v>
      </c>
      <c r="J68">
        <v>3.9392097264437629</v>
      </c>
      <c r="K68">
        <v>3.6765957446808444</v>
      </c>
      <c r="L68">
        <v>2.8668693009118469</v>
      </c>
      <c r="M68">
        <v>3.4139817629179259</v>
      </c>
      <c r="N68">
        <v>3.4139817629179259</v>
      </c>
      <c r="O68">
        <v>4.2674772036474158</v>
      </c>
      <c r="P68">
        <v>3.5671732522796291</v>
      </c>
      <c r="Q68">
        <v>3.0200607902735581</v>
      </c>
      <c r="R68">
        <f t="shared" ref="R68:AG68" si="52">SLOPE(R60:R67,$A$9:$A$16)</f>
        <v>3.1951367781154949</v>
      </c>
      <c r="S68">
        <f t="shared" si="52"/>
        <v>2.9106382978723353</v>
      </c>
      <c r="T68">
        <f t="shared" si="52"/>
        <v>3.348328267477199</v>
      </c>
      <c r="U68">
        <f t="shared" si="52"/>
        <v>3.8297872340425485</v>
      </c>
      <c r="V68">
        <f t="shared" si="52"/>
        <v>3.413981762917929</v>
      </c>
      <c r="W68">
        <f t="shared" si="52"/>
        <v>2.9325227963525817</v>
      </c>
      <c r="X68">
        <f t="shared" si="52"/>
        <v>2.9106382978723389</v>
      </c>
      <c r="Y68">
        <f t="shared" si="52"/>
        <v>3.1951367781155038</v>
      </c>
      <c r="Z68">
        <f t="shared" si="52"/>
        <v>3.8954407294832767</v>
      </c>
      <c r="AA68">
        <f t="shared" si="52"/>
        <v>3.1951367781154958</v>
      </c>
      <c r="AB68">
        <f t="shared" si="52"/>
        <v>1.3568389057750772</v>
      </c>
      <c r="AC68">
        <f t="shared" si="52"/>
        <v>3.6765957446808466</v>
      </c>
      <c r="AD68">
        <f t="shared" si="52"/>
        <v>1.8382978723404269</v>
      </c>
      <c r="AE68">
        <f t="shared" si="52"/>
        <v>1.9914893617021292</v>
      </c>
      <c r="AF68">
        <f t="shared" si="52"/>
        <v>3.085714285714281</v>
      </c>
      <c r="AG68">
        <f t="shared" si="52"/>
        <v>2.7355623100303972</v>
      </c>
    </row>
    <row r="71" spans="1:33" x14ac:dyDescent="0.2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10</v>
      </c>
      <c r="K71" s="1" t="s">
        <v>11</v>
      </c>
      <c r="L71" s="1" t="s">
        <v>12</v>
      </c>
      <c r="M71" s="1" t="s">
        <v>13</v>
      </c>
      <c r="N71" s="1" t="s">
        <v>14</v>
      </c>
      <c r="O71" s="1" t="s">
        <v>15</v>
      </c>
      <c r="P71" s="1" t="s">
        <v>16</v>
      </c>
      <c r="Q71" s="1" t="s">
        <v>17</v>
      </c>
      <c r="R71" s="1" t="s">
        <v>19</v>
      </c>
      <c r="S71" s="1" t="s">
        <v>20</v>
      </c>
      <c r="T71" s="1" t="s">
        <v>21</v>
      </c>
      <c r="U71" s="1" t="s">
        <v>22</v>
      </c>
      <c r="V71" s="1" t="s">
        <v>23</v>
      </c>
      <c r="W71" s="1" t="s">
        <v>24</v>
      </c>
      <c r="X71" s="1" t="s">
        <v>25</v>
      </c>
      <c r="Y71" s="1" t="s">
        <v>26</v>
      </c>
      <c r="Z71" s="1" t="s">
        <v>29</v>
      </c>
      <c r="AA71" s="1" t="s">
        <v>30</v>
      </c>
      <c r="AB71" s="1" t="s">
        <v>31</v>
      </c>
      <c r="AC71" s="1" t="s">
        <v>32</v>
      </c>
      <c r="AD71" s="1" t="s">
        <v>33</v>
      </c>
      <c r="AE71" s="1" t="s">
        <v>34</v>
      </c>
      <c r="AF71" s="1" t="s">
        <v>35</v>
      </c>
      <c r="AG71" s="1" t="s">
        <v>36</v>
      </c>
    </row>
    <row r="72" spans="1:33" x14ac:dyDescent="0.2">
      <c r="A72" s="2">
        <v>0</v>
      </c>
      <c r="B72" s="3">
        <v>0.13300000000000001</v>
      </c>
      <c r="C72" s="3">
        <v>0.13600000000000001</v>
      </c>
      <c r="D72" s="3">
        <v>0.13200000000000001</v>
      </c>
      <c r="E72" s="3">
        <v>0.13</v>
      </c>
      <c r="F72" s="3">
        <v>0.126</v>
      </c>
      <c r="G72" s="3">
        <v>0.13600000000000001</v>
      </c>
      <c r="H72" s="3">
        <v>0.13400000000000001</v>
      </c>
      <c r="I72" s="3">
        <v>0.126</v>
      </c>
      <c r="J72" s="3">
        <v>0.13200000000000001</v>
      </c>
      <c r="K72" s="3">
        <v>0.13100000000000001</v>
      </c>
      <c r="L72" s="3">
        <v>0.128</v>
      </c>
      <c r="M72" s="3">
        <v>0.13100000000000001</v>
      </c>
      <c r="N72" s="3">
        <v>0.129</v>
      </c>
      <c r="O72" s="3">
        <v>0.13700000000000001</v>
      </c>
      <c r="P72" s="3">
        <v>0.13400000000000001</v>
      </c>
      <c r="Q72" s="3">
        <v>0.129</v>
      </c>
      <c r="R72" s="3">
        <v>0.13100000000000001</v>
      </c>
      <c r="S72" s="3">
        <v>0.128</v>
      </c>
      <c r="T72" s="3">
        <v>0.128</v>
      </c>
      <c r="U72" s="3">
        <v>0.13100000000000001</v>
      </c>
      <c r="V72" s="3">
        <v>0.128</v>
      </c>
      <c r="W72" s="3">
        <v>0.129</v>
      </c>
      <c r="X72" s="3">
        <v>0.13</v>
      </c>
      <c r="Y72" s="3">
        <v>0.126</v>
      </c>
      <c r="Z72" s="3">
        <v>0.13200000000000001</v>
      </c>
      <c r="AA72" s="3">
        <v>0.13300000000000001</v>
      </c>
      <c r="AB72" s="3">
        <v>0.13</v>
      </c>
      <c r="AC72" s="3">
        <v>0.13300000000000001</v>
      </c>
      <c r="AD72" s="3">
        <v>0.126</v>
      </c>
      <c r="AE72" s="3">
        <v>0.126</v>
      </c>
      <c r="AF72" s="3">
        <v>0.13</v>
      </c>
      <c r="AG72" s="3">
        <v>0.127</v>
      </c>
    </row>
    <row r="73" spans="1:33" x14ac:dyDescent="0.2">
      <c r="A73" s="2">
        <v>5.4398148148148144E-4</v>
      </c>
      <c r="B73" s="3">
        <v>0.13400000000000001</v>
      </c>
      <c r="C73" s="3">
        <v>0.13700000000000001</v>
      </c>
      <c r="D73" s="3">
        <v>0.13300000000000001</v>
      </c>
      <c r="E73" s="3">
        <v>0.13100000000000001</v>
      </c>
      <c r="F73" s="3">
        <v>0.126</v>
      </c>
      <c r="G73" s="3">
        <v>0.13600000000000001</v>
      </c>
      <c r="H73" s="3">
        <v>0.13500000000000001</v>
      </c>
      <c r="I73" s="3">
        <v>0.127</v>
      </c>
      <c r="J73" s="3">
        <v>0.13300000000000001</v>
      </c>
      <c r="K73" s="3">
        <v>0.13400000000000001</v>
      </c>
      <c r="L73" s="3">
        <v>0.129</v>
      </c>
      <c r="M73" s="3">
        <v>0.13200000000000001</v>
      </c>
      <c r="N73" s="3">
        <v>0.13</v>
      </c>
      <c r="O73" s="3">
        <v>0.13800000000000001</v>
      </c>
      <c r="P73" s="3">
        <v>0.13500000000000001</v>
      </c>
      <c r="Q73" s="3">
        <v>0.13</v>
      </c>
      <c r="R73" s="3">
        <v>0.13300000000000001</v>
      </c>
      <c r="S73" s="3">
        <v>0.129</v>
      </c>
      <c r="T73" s="3">
        <v>0.129</v>
      </c>
      <c r="U73" s="3">
        <v>0.13100000000000001</v>
      </c>
      <c r="V73" s="3">
        <v>0.129</v>
      </c>
      <c r="W73" s="3">
        <v>0.129</v>
      </c>
      <c r="X73" s="3">
        <v>0.13</v>
      </c>
      <c r="Y73" s="3">
        <v>0.127</v>
      </c>
      <c r="Z73" s="3">
        <v>0.13300000000000001</v>
      </c>
      <c r="AA73" s="3">
        <v>0.13300000000000001</v>
      </c>
      <c r="AB73" s="3">
        <v>0.13100000000000001</v>
      </c>
      <c r="AC73" s="3">
        <v>0.13500000000000001</v>
      </c>
      <c r="AD73" s="3">
        <v>0.127</v>
      </c>
      <c r="AE73" s="3">
        <v>0.127</v>
      </c>
      <c r="AF73" s="3">
        <v>0.13</v>
      </c>
      <c r="AG73" s="3">
        <v>0.128</v>
      </c>
    </row>
    <row r="74" spans="1:33" x14ac:dyDescent="0.2">
      <c r="A74" s="2">
        <v>1.0879629629629629E-3</v>
      </c>
      <c r="B74" s="3">
        <v>0.13500000000000001</v>
      </c>
      <c r="C74" s="3">
        <v>0.13900000000000001</v>
      </c>
      <c r="D74" s="3">
        <v>0.13400000000000001</v>
      </c>
      <c r="E74" s="3">
        <v>0.13300000000000001</v>
      </c>
      <c r="F74" s="3">
        <v>0.127</v>
      </c>
      <c r="G74" s="3">
        <v>0.13800000000000001</v>
      </c>
      <c r="H74" s="3">
        <v>0.13700000000000001</v>
      </c>
      <c r="I74" s="3">
        <v>0.129</v>
      </c>
      <c r="J74" s="3">
        <v>0.13500000000000001</v>
      </c>
      <c r="K74" s="3">
        <v>0.13400000000000001</v>
      </c>
      <c r="L74" s="3">
        <v>0.13</v>
      </c>
      <c r="M74" s="3">
        <v>0.13200000000000001</v>
      </c>
      <c r="N74" s="3">
        <v>0.13100000000000001</v>
      </c>
      <c r="O74" s="3">
        <v>0.13800000000000001</v>
      </c>
      <c r="P74" s="3">
        <v>0.13700000000000001</v>
      </c>
      <c r="Q74" s="3">
        <v>0.13100000000000001</v>
      </c>
      <c r="R74" s="3">
        <v>0.13400000000000001</v>
      </c>
      <c r="S74" s="3">
        <v>0.13</v>
      </c>
      <c r="T74" s="3">
        <v>0.13</v>
      </c>
      <c r="U74" s="3">
        <v>0.13300000000000001</v>
      </c>
      <c r="V74" s="3">
        <v>0.13</v>
      </c>
      <c r="W74" s="3">
        <v>0.13</v>
      </c>
      <c r="X74" s="3">
        <v>0.13100000000000001</v>
      </c>
      <c r="Y74" s="3">
        <v>0.128</v>
      </c>
      <c r="Z74" s="3">
        <v>0.13400000000000001</v>
      </c>
      <c r="AA74" s="3">
        <v>0.13400000000000001</v>
      </c>
      <c r="AB74" s="3">
        <v>0.13100000000000001</v>
      </c>
      <c r="AC74" s="3">
        <v>0.13600000000000001</v>
      </c>
      <c r="AD74" s="3">
        <v>0.127</v>
      </c>
      <c r="AE74" s="3">
        <v>0.127</v>
      </c>
      <c r="AF74" s="3">
        <v>0.13100000000000001</v>
      </c>
      <c r="AG74" s="3">
        <v>0.129</v>
      </c>
    </row>
    <row r="75" spans="1:33" x14ac:dyDescent="0.2">
      <c r="A75" s="2">
        <v>1.6319444444444445E-3</v>
      </c>
      <c r="B75" s="3">
        <v>0.13600000000000001</v>
      </c>
      <c r="C75" s="3">
        <v>0.14000000000000001</v>
      </c>
      <c r="D75" s="3">
        <v>0.13600000000000001</v>
      </c>
      <c r="E75" s="3">
        <v>0.13500000000000001</v>
      </c>
      <c r="F75" s="3">
        <v>0.129</v>
      </c>
      <c r="G75" s="3">
        <v>0.14000000000000001</v>
      </c>
      <c r="H75" s="3">
        <v>0.13800000000000001</v>
      </c>
      <c r="I75" s="3">
        <v>0.13</v>
      </c>
      <c r="J75" s="3">
        <v>0.13600000000000001</v>
      </c>
      <c r="K75" s="3">
        <v>0.13500000000000001</v>
      </c>
      <c r="L75" s="3">
        <v>0.13100000000000001</v>
      </c>
      <c r="M75" s="3">
        <v>0.13400000000000001</v>
      </c>
      <c r="N75" s="3">
        <v>0.13200000000000001</v>
      </c>
      <c r="O75" s="3">
        <v>0.14000000000000001</v>
      </c>
      <c r="P75" s="3">
        <v>0.13800000000000001</v>
      </c>
      <c r="Q75" s="3">
        <v>0.13200000000000001</v>
      </c>
      <c r="R75" s="3">
        <v>0.13500000000000001</v>
      </c>
      <c r="S75" s="3">
        <v>0.13100000000000001</v>
      </c>
      <c r="T75" s="3">
        <v>0.13100000000000001</v>
      </c>
      <c r="U75" s="3">
        <v>0.13400000000000001</v>
      </c>
      <c r="V75" s="3">
        <v>0.13100000000000001</v>
      </c>
      <c r="W75" s="3">
        <v>0.13100000000000001</v>
      </c>
      <c r="X75" s="3">
        <v>0.13200000000000001</v>
      </c>
      <c r="Y75" s="3">
        <v>0.129</v>
      </c>
      <c r="Z75" s="3">
        <v>0.13500000000000001</v>
      </c>
      <c r="AA75" s="3">
        <v>0.13500000000000001</v>
      </c>
      <c r="AB75" s="3">
        <v>0.13200000000000001</v>
      </c>
      <c r="AC75" s="3">
        <v>0.13700000000000001</v>
      </c>
      <c r="AD75" s="3">
        <v>0.127</v>
      </c>
      <c r="AE75" s="3">
        <v>0.128</v>
      </c>
      <c r="AF75" s="3">
        <v>0.13200000000000001</v>
      </c>
      <c r="AG75" s="3">
        <v>0.129</v>
      </c>
    </row>
    <row r="76" spans="1:33" x14ac:dyDescent="0.2">
      <c r="A76" s="2">
        <v>2.1759259259259258E-3</v>
      </c>
      <c r="B76" s="3">
        <v>0.13800000000000001</v>
      </c>
      <c r="C76" s="3">
        <v>0.14199999999999999</v>
      </c>
      <c r="D76" s="3">
        <v>0.13800000000000001</v>
      </c>
      <c r="E76" s="3">
        <v>0.13600000000000001</v>
      </c>
      <c r="F76" s="3">
        <v>0.13</v>
      </c>
      <c r="G76" s="3">
        <v>0.14099999999999999</v>
      </c>
      <c r="H76" s="3">
        <v>0.14000000000000001</v>
      </c>
      <c r="I76" s="3">
        <v>0.13100000000000001</v>
      </c>
      <c r="J76" s="3">
        <v>0.13800000000000001</v>
      </c>
      <c r="K76" s="3">
        <v>0.13700000000000001</v>
      </c>
      <c r="L76" s="3">
        <v>0.13200000000000001</v>
      </c>
      <c r="M76" s="3">
        <v>0.13500000000000001</v>
      </c>
      <c r="N76" s="3">
        <v>0.13400000000000001</v>
      </c>
      <c r="O76" s="3">
        <v>0.14099999999999999</v>
      </c>
      <c r="P76" s="3">
        <v>0.13900000000000001</v>
      </c>
      <c r="Q76" s="3">
        <v>0.13300000000000001</v>
      </c>
      <c r="R76" s="3">
        <v>0.14000000000000001</v>
      </c>
      <c r="S76" s="3">
        <v>0.13200000000000001</v>
      </c>
      <c r="T76" s="3">
        <v>0.13200000000000001</v>
      </c>
      <c r="U76" s="3">
        <v>0.13600000000000001</v>
      </c>
      <c r="V76" s="3">
        <v>0.13200000000000001</v>
      </c>
      <c r="W76" s="3">
        <v>0.13200000000000001</v>
      </c>
      <c r="X76" s="3">
        <v>0.13300000000000001</v>
      </c>
      <c r="Y76" s="3">
        <v>0.13</v>
      </c>
      <c r="Z76" s="3">
        <v>0.13700000000000001</v>
      </c>
      <c r="AA76" s="3">
        <v>0.13600000000000001</v>
      </c>
      <c r="AB76" s="3">
        <v>0.13300000000000001</v>
      </c>
      <c r="AC76" s="3">
        <v>0.13800000000000001</v>
      </c>
      <c r="AD76" s="3">
        <v>0.128</v>
      </c>
      <c r="AE76" s="3">
        <v>0.129</v>
      </c>
      <c r="AF76" s="3">
        <v>0.13300000000000001</v>
      </c>
      <c r="AG76" s="3">
        <v>0.13100000000000001</v>
      </c>
    </row>
    <row r="77" spans="1:33" x14ac:dyDescent="0.2">
      <c r="A77" s="2">
        <v>2.7199074074074074E-3</v>
      </c>
      <c r="B77" s="3">
        <v>0.14000000000000001</v>
      </c>
      <c r="C77" s="3">
        <v>0.14399999999999999</v>
      </c>
      <c r="D77" s="3">
        <v>0.14000000000000001</v>
      </c>
      <c r="E77" s="3">
        <v>0.13900000000000001</v>
      </c>
      <c r="F77" s="3">
        <v>0.13100000000000001</v>
      </c>
      <c r="G77" s="3">
        <v>0.14299999999999999</v>
      </c>
      <c r="H77" s="3">
        <v>0.14199999999999999</v>
      </c>
      <c r="I77" s="3">
        <v>0.13300000000000001</v>
      </c>
      <c r="J77" s="3">
        <v>0.14000000000000001</v>
      </c>
      <c r="K77" s="3">
        <v>0.13800000000000001</v>
      </c>
      <c r="L77" s="3">
        <v>0.13300000000000001</v>
      </c>
      <c r="M77" s="3">
        <v>0.13700000000000001</v>
      </c>
      <c r="N77" s="3">
        <v>0.13500000000000001</v>
      </c>
      <c r="O77" s="3">
        <v>0.14299999999999999</v>
      </c>
      <c r="P77" s="3">
        <v>0.14099999999999999</v>
      </c>
      <c r="Q77" s="3">
        <v>0.13400000000000001</v>
      </c>
      <c r="R77" s="3">
        <v>0.13700000000000001</v>
      </c>
      <c r="S77" s="3">
        <v>0.13300000000000001</v>
      </c>
      <c r="T77" s="3">
        <v>0.13400000000000001</v>
      </c>
      <c r="U77" s="3">
        <v>0.13700000000000001</v>
      </c>
      <c r="V77" s="3">
        <v>0.13400000000000001</v>
      </c>
      <c r="W77" s="3">
        <v>0.13300000000000001</v>
      </c>
      <c r="X77" s="3">
        <v>0.13500000000000001</v>
      </c>
      <c r="Y77" s="3">
        <v>0.13100000000000001</v>
      </c>
      <c r="Z77" s="3">
        <v>0.13900000000000001</v>
      </c>
      <c r="AA77" s="3">
        <v>0.13800000000000001</v>
      </c>
      <c r="AB77" s="3">
        <v>0.13300000000000001</v>
      </c>
      <c r="AC77" s="3">
        <v>0.14000000000000001</v>
      </c>
      <c r="AD77" s="3">
        <v>0.129</v>
      </c>
      <c r="AE77" s="3">
        <v>0.13</v>
      </c>
      <c r="AF77" s="3">
        <v>0.13400000000000001</v>
      </c>
      <c r="AG77" s="3">
        <v>0.13200000000000001</v>
      </c>
    </row>
    <row r="78" spans="1:33" x14ac:dyDescent="0.2">
      <c r="A78" s="2">
        <v>3.2638888888888891E-3</v>
      </c>
      <c r="B78" s="3">
        <v>0.14099999999999999</v>
      </c>
      <c r="C78" s="3">
        <v>0.14599999999999999</v>
      </c>
      <c r="D78" s="3">
        <v>0.14199999999999999</v>
      </c>
      <c r="E78" s="3">
        <v>0.14000000000000001</v>
      </c>
      <c r="F78" s="3">
        <v>0.13300000000000001</v>
      </c>
      <c r="G78" s="3">
        <v>0.14499999999999999</v>
      </c>
      <c r="H78" s="3">
        <v>0.14499999999999999</v>
      </c>
      <c r="I78" s="3">
        <v>0.13500000000000001</v>
      </c>
      <c r="J78" s="3">
        <v>0.14199999999999999</v>
      </c>
      <c r="K78" s="3">
        <v>0.14000000000000001</v>
      </c>
      <c r="L78" s="3">
        <v>0.13400000000000001</v>
      </c>
      <c r="M78" s="3">
        <v>0.13800000000000001</v>
      </c>
      <c r="N78" s="3">
        <v>0.13700000000000001</v>
      </c>
      <c r="O78" s="3">
        <v>0.14399999999999999</v>
      </c>
      <c r="P78" s="3">
        <v>0.14299999999999999</v>
      </c>
      <c r="Q78" s="3">
        <v>0.13600000000000001</v>
      </c>
      <c r="R78" s="3">
        <v>0.14099999999999999</v>
      </c>
      <c r="S78" s="3">
        <v>0.13400000000000001</v>
      </c>
      <c r="T78" s="3">
        <v>0.13500000000000001</v>
      </c>
      <c r="U78" s="3">
        <v>0.13900000000000001</v>
      </c>
      <c r="V78" s="3">
        <v>0.13500000000000001</v>
      </c>
      <c r="W78" s="3">
        <v>0.13400000000000001</v>
      </c>
      <c r="X78" s="3">
        <v>0.13600000000000001</v>
      </c>
      <c r="Y78" s="3">
        <v>0.13200000000000001</v>
      </c>
      <c r="Z78" s="3">
        <v>0.14099999999999999</v>
      </c>
      <c r="AA78" s="3">
        <v>0.13900000000000001</v>
      </c>
      <c r="AB78" s="3">
        <v>0.13400000000000001</v>
      </c>
      <c r="AC78" s="3">
        <v>0.14199999999999999</v>
      </c>
      <c r="AD78" s="3">
        <v>0.129</v>
      </c>
      <c r="AE78" s="3">
        <v>0.13100000000000001</v>
      </c>
      <c r="AF78" s="3">
        <v>0.13600000000000001</v>
      </c>
      <c r="AG78" s="3">
        <v>0.13300000000000001</v>
      </c>
    </row>
    <row r="79" spans="1:33" x14ac:dyDescent="0.2">
      <c r="A79" s="2">
        <v>3.8078703703703703E-3</v>
      </c>
      <c r="B79" s="3">
        <v>0.14399999999999999</v>
      </c>
      <c r="C79" s="3">
        <v>0.14899999999999999</v>
      </c>
      <c r="D79" s="3">
        <v>0.14399999999999999</v>
      </c>
      <c r="E79" s="3">
        <v>0.14199999999999999</v>
      </c>
      <c r="F79" s="3">
        <v>0.13600000000000001</v>
      </c>
      <c r="G79" s="3">
        <v>0.14699999999999999</v>
      </c>
      <c r="H79" s="3">
        <v>0.14699999999999999</v>
      </c>
      <c r="I79" s="3">
        <v>0.13700000000000001</v>
      </c>
      <c r="J79" s="3">
        <v>0.14399999999999999</v>
      </c>
      <c r="K79" s="3">
        <v>0.14199999999999999</v>
      </c>
      <c r="L79" s="3">
        <v>0.13500000000000001</v>
      </c>
      <c r="M79" s="3">
        <v>0.14000000000000001</v>
      </c>
      <c r="N79" s="3">
        <v>0.13900000000000001</v>
      </c>
      <c r="O79" s="3">
        <v>0.14599999999999999</v>
      </c>
      <c r="P79" s="3">
        <v>0.14499999999999999</v>
      </c>
      <c r="Q79" s="3">
        <v>0.13700000000000001</v>
      </c>
      <c r="R79" s="3">
        <v>0.14099999999999999</v>
      </c>
      <c r="S79" s="3">
        <v>0.13600000000000001</v>
      </c>
      <c r="T79" s="3">
        <v>0.13700000000000001</v>
      </c>
      <c r="U79" s="3">
        <v>0.14099999999999999</v>
      </c>
      <c r="V79" s="3">
        <v>0.13700000000000001</v>
      </c>
      <c r="W79" s="3">
        <v>0.13600000000000001</v>
      </c>
      <c r="X79" s="3">
        <v>0.13700000000000001</v>
      </c>
      <c r="Y79" s="3">
        <v>0.13400000000000001</v>
      </c>
      <c r="Z79" s="3">
        <v>0.14299999999999999</v>
      </c>
      <c r="AA79" s="3">
        <v>0.14099999999999999</v>
      </c>
      <c r="AB79" s="3">
        <v>0.13500000000000001</v>
      </c>
      <c r="AC79" s="3">
        <v>0.14399999999999999</v>
      </c>
      <c r="AD79" s="3">
        <v>0.13</v>
      </c>
      <c r="AE79" s="3">
        <v>0.13200000000000001</v>
      </c>
      <c r="AF79" s="3">
        <v>0.13700000000000001</v>
      </c>
      <c r="AG79" s="3">
        <v>0.13400000000000001</v>
      </c>
    </row>
    <row r="80" spans="1:33" x14ac:dyDescent="0.2">
      <c r="A80" s="2">
        <v>4.3518518518518515E-3</v>
      </c>
      <c r="B80" s="3">
        <v>0.14599999999999999</v>
      </c>
      <c r="C80" s="3">
        <v>0.151</v>
      </c>
      <c r="D80" s="3">
        <v>0.14599999999999999</v>
      </c>
      <c r="E80" s="3">
        <v>0.14499999999999999</v>
      </c>
      <c r="F80" s="3">
        <v>0.13700000000000001</v>
      </c>
      <c r="G80" s="3">
        <v>0.14899999999999999</v>
      </c>
      <c r="H80" s="3">
        <v>0.15</v>
      </c>
      <c r="I80" s="3">
        <v>0.13900000000000001</v>
      </c>
      <c r="J80" s="3">
        <v>0.14599999999999999</v>
      </c>
      <c r="K80" s="3">
        <v>0.14399999999999999</v>
      </c>
      <c r="L80" s="3">
        <v>0.13600000000000001</v>
      </c>
      <c r="M80" s="3">
        <v>0.14099999999999999</v>
      </c>
      <c r="N80" s="3">
        <v>0.14099999999999999</v>
      </c>
      <c r="O80" s="3">
        <v>0.14899999999999999</v>
      </c>
      <c r="P80" s="3">
        <v>0.14699999999999999</v>
      </c>
      <c r="Q80" s="3">
        <v>0.13900000000000001</v>
      </c>
      <c r="R80" s="3">
        <v>0.14299999999999999</v>
      </c>
      <c r="S80" s="3">
        <v>0.13700000000000001</v>
      </c>
      <c r="T80" s="3">
        <v>0.13900000000000001</v>
      </c>
      <c r="U80" s="3">
        <v>0.14399999999999999</v>
      </c>
      <c r="V80" s="3">
        <v>0.13900000000000001</v>
      </c>
      <c r="W80" s="3">
        <v>0.13700000000000001</v>
      </c>
      <c r="X80" s="3">
        <v>0.13900000000000001</v>
      </c>
      <c r="Y80" s="3">
        <v>0.13500000000000001</v>
      </c>
      <c r="Z80" s="3">
        <v>0.14499999999999999</v>
      </c>
      <c r="AA80" s="3">
        <v>0.14299999999999999</v>
      </c>
      <c r="AB80" s="3">
        <v>0.13600000000000001</v>
      </c>
      <c r="AC80" s="3">
        <v>0.14599999999999999</v>
      </c>
      <c r="AD80" s="3">
        <v>0.13100000000000001</v>
      </c>
      <c r="AE80" s="3">
        <v>0.13300000000000001</v>
      </c>
      <c r="AF80" s="3">
        <v>0.13800000000000001</v>
      </c>
      <c r="AG80" s="3">
        <v>0.13500000000000001</v>
      </c>
    </row>
    <row r="81" spans="1:33" x14ac:dyDescent="0.2">
      <c r="A81" s="2">
        <v>4.8958333333333336E-3</v>
      </c>
      <c r="B81" s="3">
        <v>0.14799999999999999</v>
      </c>
      <c r="C81" s="3">
        <v>0.153</v>
      </c>
      <c r="D81" s="3">
        <v>0.14899999999999999</v>
      </c>
      <c r="E81" s="3">
        <v>0.14699999999999999</v>
      </c>
      <c r="F81" s="3">
        <v>0.13900000000000001</v>
      </c>
      <c r="G81" s="3">
        <v>0.151</v>
      </c>
      <c r="H81" s="3">
        <v>0.153</v>
      </c>
      <c r="I81" s="3">
        <v>0.14099999999999999</v>
      </c>
      <c r="J81" s="3">
        <v>0.14899999999999999</v>
      </c>
      <c r="K81" s="3">
        <v>0.14599999999999999</v>
      </c>
      <c r="L81" s="3">
        <v>0.13800000000000001</v>
      </c>
      <c r="M81" s="3">
        <v>0.14299999999999999</v>
      </c>
      <c r="N81" s="3">
        <v>0.14299999999999999</v>
      </c>
      <c r="O81" s="3">
        <v>0.151</v>
      </c>
      <c r="P81" s="3">
        <v>0.14899999999999999</v>
      </c>
      <c r="Q81" s="3">
        <v>0.14099999999999999</v>
      </c>
      <c r="R81" s="3">
        <v>0.14499999999999999</v>
      </c>
      <c r="S81" s="3">
        <v>0.13900000000000001</v>
      </c>
      <c r="T81" s="3">
        <v>0.14000000000000001</v>
      </c>
      <c r="U81" s="3">
        <v>0.14599999999999999</v>
      </c>
      <c r="V81" s="3">
        <v>0.14099999999999999</v>
      </c>
      <c r="W81" s="3">
        <v>0.13800000000000001</v>
      </c>
      <c r="X81" s="3">
        <v>0.14099999999999999</v>
      </c>
      <c r="Y81" s="3">
        <v>0.13800000000000001</v>
      </c>
      <c r="Z81" s="3">
        <v>0.14799999999999999</v>
      </c>
      <c r="AA81" s="3">
        <v>0.14399999999999999</v>
      </c>
      <c r="AB81" s="3">
        <v>0.13700000000000001</v>
      </c>
      <c r="AC81" s="3">
        <v>0.14799999999999999</v>
      </c>
      <c r="AD81" s="3">
        <v>0.13200000000000001</v>
      </c>
      <c r="AE81" s="3">
        <v>0.13400000000000001</v>
      </c>
      <c r="AF81" s="3">
        <v>0.14099999999999999</v>
      </c>
      <c r="AG81" s="3">
        <v>0.13700000000000001</v>
      </c>
    </row>
    <row r="82" spans="1:33" x14ac:dyDescent="0.2">
      <c r="A82" s="2">
        <v>5.4398148148148149E-3</v>
      </c>
      <c r="B82" s="3">
        <v>0.15</v>
      </c>
      <c r="C82" s="3">
        <v>0.156</v>
      </c>
      <c r="D82" s="3">
        <v>0.151</v>
      </c>
      <c r="E82" s="3">
        <v>0.15</v>
      </c>
      <c r="F82" s="3">
        <v>0.14099999999999999</v>
      </c>
      <c r="G82" s="3">
        <v>0.153</v>
      </c>
      <c r="H82" s="3">
        <v>0.156</v>
      </c>
      <c r="I82" s="3">
        <v>0.14299999999999999</v>
      </c>
      <c r="J82" s="3">
        <v>0.152</v>
      </c>
      <c r="K82" s="3">
        <v>0.14899999999999999</v>
      </c>
      <c r="L82" s="3">
        <v>0.14000000000000001</v>
      </c>
      <c r="M82" s="3">
        <v>0.14499999999999999</v>
      </c>
      <c r="N82" s="3">
        <v>0.14499999999999999</v>
      </c>
      <c r="O82" s="3">
        <v>0.153</v>
      </c>
      <c r="P82" s="3">
        <v>0.151</v>
      </c>
      <c r="Q82" s="3">
        <v>0.14199999999999999</v>
      </c>
      <c r="R82" s="3">
        <v>0.14699999999999999</v>
      </c>
      <c r="S82" s="3">
        <v>0.14099999999999999</v>
      </c>
      <c r="T82" s="3">
        <v>0.14199999999999999</v>
      </c>
      <c r="U82" s="3">
        <v>0.14799999999999999</v>
      </c>
      <c r="V82" s="3">
        <v>0.14299999999999999</v>
      </c>
      <c r="W82" s="3">
        <v>0.14000000000000001</v>
      </c>
      <c r="X82" s="3">
        <v>0.14199999999999999</v>
      </c>
      <c r="Y82" s="3">
        <v>0.13900000000000001</v>
      </c>
      <c r="Z82" s="3">
        <v>0.15</v>
      </c>
      <c r="AA82" s="3">
        <v>0.14699999999999999</v>
      </c>
      <c r="AB82" s="3">
        <v>0.13700000000000001</v>
      </c>
      <c r="AC82" s="3">
        <v>0.15</v>
      </c>
      <c r="AD82" s="3">
        <v>0.13300000000000001</v>
      </c>
      <c r="AE82" s="3">
        <v>0.13500000000000001</v>
      </c>
      <c r="AF82" s="3">
        <v>0.14199999999999999</v>
      </c>
      <c r="AG82" s="3">
        <v>0.13900000000000001</v>
      </c>
    </row>
    <row r="83" spans="1:33" x14ac:dyDescent="0.2">
      <c r="A83" s="2">
        <v>5.9837962962962961E-3</v>
      </c>
      <c r="B83" s="3">
        <v>0.153</v>
      </c>
      <c r="C83" s="3">
        <v>0.158</v>
      </c>
      <c r="D83" s="3">
        <v>0.154</v>
      </c>
      <c r="E83" s="3">
        <v>0.152</v>
      </c>
      <c r="F83" s="3">
        <v>0.14299999999999999</v>
      </c>
      <c r="G83" s="3">
        <v>0.156</v>
      </c>
      <c r="H83" s="3">
        <v>0.159</v>
      </c>
      <c r="I83" s="3">
        <v>0.14499999999999999</v>
      </c>
      <c r="J83" s="3">
        <v>0.154</v>
      </c>
      <c r="K83" s="3">
        <v>0.151</v>
      </c>
      <c r="L83" s="3">
        <v>0.14099999999999999</v>
      </c>
      <c r="M83" s="3">
        <v>0.14799999999999999</v>
      </c>
      <c r="N83" s="3">
        <v>0.14699999999999999</v>
      </c>
      <c r="O83" s="3">
        <v>0.156</v>
      </c>
      <c r="P83" s="3">
        <v>0.154</v>
      </c>
      <c r="Q83" s="3">
        <v>0.14399999999999999</v>
      </c>
      <c r="R83" s="3">
        <v>0.14899999999999999</v>
      </c>
      <c r="S83" s="3">
        <v>0.14299999999999999</v>
      </c>
      <c r="T83" s="3">
        <v>0.14399999999999999</v>
      </c>
      <c r="U83" s="3">
        <v>0.15</v>
      </c>
      <c r="V83" s="3">
        <v>0.14499999999999999</v>
      </c>
      <c r="W83" s="3">
        <v>0.14199999999999999</v>
      </c>
      <c r="X83" s="3">
        <v>0.14399999999999999</v>
      </c>
      <c r="Y83" s="3">
        <v>0.14099999999999999</v>
      </c>
      <c r="Z83" s="3">
        <v>0.152</v>
      </c>
      <c r="AA83" s="3">
        <v>0.14899999999999999</v>
      </c>
      <c r="AB83" s="3">
        <v>0.13800000000000001</v>
      </c>
      <c r="AC83" s="3">
        <v>0.153</v>
      </c>
      <c r="AD83" s="3">
        <v>0.13400000000000001</v>
      </c>
      <c r="AE83" s="3">
        <v>0.13700000000000001</v>
      </c>
      <c r="AF83" s="3">
        <v>0.14399999999999999</v>
      </c>
      <c r="AG83" s="3">
        <v>0.14000000000000001</v>
      </c>
    </row>
    <row r="84" spans="1:33" x14ac:dyDescent="0.2">
      <c r="A84" s="2">
        <v>6.5277777777777782E-3</v>
      </c>
      <c r="B84" s="3">
        <v>0.155</v>
      </c>
      <c r="C84" s="3">
        <v>0.161</v>
      </c>
      <c r="D84" s="3">
        <v>0.157</v>
      </c>
      <c r="E84" s="3">
        <v>0.155</v>
      </c>
      <c r="F84" s="3">
        <v>0.14499999999999999</v>
      </c>
      <c r="G84" s="3">
        <v>0.158</v>
      </c>
      <c r="H84" s="3">
        <v>0.16200000000000001</v>
      </c>
      <c r="I84" s="3">
        <v>0.14699999999999999</v>
      </c>
      <c r="J84" s="3">
        <v>0.157</v>
      </c>
      <c r="K84" s="3">
        <v>0.153</v>
      </c>
      <c r="L84" s="3">
        <v>0.14299999999999999</v>
      </c>
      <c r="M84" s="3">
        <v>0.15</v>
      </c>
      <c r="N84" s="3">
        <v>0.14899999999999999</v>
      </c>
      <c r="O84" s="3">
        <v>0.159</v>
      </c>
      <c r="P84" s="3">
        <v>0.156</v>
      </c>
      <c r="Q84" s="3">
        <v>0.14599999999999999</v>
      </c>
      <c r="R84" s="3">
        <v>0.151</v>
      </c>
      <c r="S84" s="3">
        <v>0.14499999999999999</v>
      </c>
      <c r="T84" s="3">
        <v>0.14699999999999999</v>
      </c>
      <c r="U84" s="3">
        <v>0.153</v>
      </c>
      <c r="V84" s="3">
        <v>0.14699999999999999</v>
      </c>
      <c r="W84" s="3">
        <v>0.14399999999999999</v>
      </c>
      <c r="X84" s="3">
        <v>0.14599999999999999</v>
      </c>
      <c r="Y84" s="3">
        <v>0.14299999999999999</v>
      </c>
      <c r="Z84" s="3">
        <v>0.155</v>
      </c>
      <c r="AA84" s="3">
        <v>0.15</v>
      </c>
      <c r="AB84" s="3">
        <v>0.13900000000000001</v>
      </c>
      <c r="AC84" s="3">
        <v>0.155</v>
      </c>
      <c r="AD84" s="3">
        <v>0.13600000000000001</v>
      </c>
      <c r="AE84" s="3">
        <v>0.13800000000000001</v>
      </c>
      <c r="AF84" s="3">
        <v>0.14599999999999999</v>
      </c>
      <c r="AG84" s="3">
        <v>0.14199999999999999</v>
      </c>
    </row>
    <row r="85" spans="1:33" x14ac:dyDescent="0.2">
      <c r="B85">
        <f>SLOPE(B78:B84,$A$27:$A$33)</f>
        <v>4.2018237082066898</v>
      </c>
      <c r="C85">
        <f t="shared" ref="C85:J85" si="53">SLOPE(C78:C84,$A$27:$A$33)</f>
        <v>4.4644376899696088</v>
      </c>
      <c r="D85">
        <f t="shared" si="53"/>
        <v>4.5957446808510678</v>
      </c>
      <c r="E85">
        <f t="shared" si="53"/>
        <v>4.5957446808510616</v>
      </c>
      <c r="F85">
        <f t="shared" si="53"/>
        <v>3.5452887537993845</v>
      </c>
      <c r="G85">
        <f t="shared" si="53"/>
        <v>4.0048632218845013</v>
      </c>
      <c r="H85">
        <f t="shared" si="53"/>
        <v>5.3179331306990925</v>
      </c>
      <c r="I85">
        <f t="shared" si="53"/>
        <v>3.6765957446808435</v>
      </c>
      <c r="J85">
        <f t="shared" si="53"/>
        <v>4.6613981762917973</v>
      </c>
      <c r="K85">
        <f>SLOPE(K78:K84,$A$27:$A$33)</f>
        <v>4.0705167173252255</v>
      </c>
      <c r="L85">
        <f t="shared" ref="L85:AG85" si="54">SLOPE(L78:L84,$A$27:$A$33)</f>
        <v>2.8231003039513611</v>
      </c>
      <c r="M85">
        <f t="shared" si="54"/>
        <v>3.6765957446808453</v>
      </c>
      <c r="N85">
        <f t="shared" si="54"/>
        <v>3.6765957446808453</v>
      </c>
      <c r="O85">
        <f t="shared" si="54"/>
        <v>4.5300911854103383</v>
      </c>
      <c r="P85">
        <f t="shared" si="54"/>
        <v>4.0048632218845013</v>
      </c>
      <c r="Q85">
        <f t="shared" si="54"/>
        <v>3.0857142857142774</v>
      </c>
      <c r="R85">
        <f t="shared" si="54"/>
        <v>3.2826747720364771</v>
      </c>
      <c r="S85">
        <f t="shared" si="54"/>
        <v>3.348328267477195</v>
      </c>
      <c r="T85">
        <f t="shared" si="54"/>
        <v>3.4796352583586545</v>
      </c>
      <c r="U85">
        <f t="shared" si="54"/>
        <v>4.2018237082066854</v>
      </c>
      <c r="V85">
        <f t="shared" si="54"/>
        <v>3.6765957446808435</v>
      </c>
      <c r="W85">
        <f t="shared" si="54"/>
        <v>2.9544072948328206</v>
      </c>
      <c r="X85">
        <f t="shared" si="54"/>
        <v>3.0857142857142774</v>
      </c>
      <c r="Y85">
        <f t="shared" si="54"/>
        <v>3.3483282674771973</v>
      </c>
      <c r="Z85">
        <f t="shared" si="54"/>
        <v>4.2674772036474193</v>
      </c>
      <c r="AA85">
        <f t="shared" si="54"/>
        <v>3.4796352583586603</v>
      </c>
      <c r="AB85">
        <f t="shared" si="54"/>
        <v>1.4443768996960498</v>
      </c>
      <c r="AC85">
        <f t="shared" si="54"/>
        <v>4.0048632218845022</v>
      </c>
      <c r="AD85">
        <f t="shared" si="54"/>
        <v>2.0352583586626158</v>
      </c>
      <c r="AE85">
        <f t="shared" si="54"/>
        <v>2.1665653495440744</v>
      </c>
      <c r="AF85">
        <f t="shared" si="54"/>
        <v>3.1513677811550065</v>
      </c>
      <c r="AG85">
        <f t="shared" si="54"/>
        <v>2.8231003039513647</v>
      </c>
    </row>
    <row r="86" spans="1:33" x14ac:dyDescent="0.2">
      <c r="A86" t="s">
        <v>44</v>
      </c>
    </row>
    <row r="88" spans="1:33" x14ac:dyDescent="0.2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10</v>
      </c>
      <c r="K88" s="1" t="s">
        <v>11</v>
      </c>
      <c r="L88" s="1" t="s">
        <v>12</v>
      </c>
      <c r="M88" s="1" t="s">
        <v>13</v>
      </c>
      <c r="N88" s="1" t="s">
        <v>14</v>
      </c>
      <c r="O88" s="1" t="s">
        <v>15</v>
      </c>
      <c r="P88" s="1" t="s">
        <v>16</v>
      </c>
      <c r="Q88" s="1" t="s">
        <v>17</v>
      </c>
      <c r="R88" s="1" t="s">
        <v>19</v>
      </c>
      <c r="S88" s="1" t="s">
        <v>20</v>
      </c>
      <c r="T88" s="1" t="s">
        <v>21</v>
      </c>
      <c r="U88" s="1" t="s">
        <v>22</v>
      </c>
      <c r="V88" s="1" t="s">
        <v>23</v>
      </c>
      <c r="W88" s="1" t="s">
        <v>24</v>
      </c>
      <c r="X88" s="1" t="s">
        <v>25</v>
      </c>
      <c r="Y88" s="1" t="s">
        <v>26</v>
      </c>
      <c r="Z88" s="1" t="s">
        <v>29</v>
      </c>
      <c r="AA88" s="1" t="s">
        <v>30</v>
      </c>
      <c r="AB88" s="1" t="s">
        <v>31</v>
      </c>
      <c r="AC88" s="1" t="s">
        <v>32</v>
      </c>
      <c r="AD88" s="1" t="s">
        <v>33</v>
      </c>
      <c r="AE88" s="1" t="s">
        <v>34</v>
      </c>
      <c r="AF88" s="1" t="s">
        <v>35</v>
      </c>
      <c r="AG88" s="1" t="s">
        <v>36</v>
      </c>
    </row>
    <row r="89" spans="1:33" x14ac:dyDescent="0.2">
      <c r="A89" s="2">
        <v>0</v>
      </c>
      <c r="B89" s="3">
        <v>0.13400000000000001</v>
      </c>
      <c r="C89" s="3">
        <v>0.13700000000000001</v>
      </c>
      <c r="D89" s="3">
        <v>0.129</v>
      </c>
      <c r="E89" s="3">
        <v>0.13300000000000001</v>
      </c>
      <c r="F89" s="3">
        <v>0.126</v>
      </c>
      <c r="G89" s="3">
        <v>0.13400000000000001</v>
      </c>
      <c r="H89" s="3">
        <v>0.13200000000000001</v>
      </c>
      <c r="I89" s="3">
        <v>0.125</v>
      </c>
      <c r="J89" s="3">
        <v>0.129</v>
      </c>
      <c r="K89" s="3">
        <v>0.13100000000000001</v>
      </c>
      <c r="L89" s="3">
        <v>0.13</v>
      </c>
      <c r="M89" s="3">
        <v>0.13200000000000001</v>
      </c>
      <c r="N89" s="3">
        <v>0.13100000000000001</v>
      </c>
      <c r="O89" s="3">
        <v>0.14799999999999999</v>
      </c>
      <c r="P89" s="3">
        <v>0.13300000000000001</v>
      </c>
      <c r="Q89" s="3">
        <v>0.128</v>
      </c>
      <c r="R89" s="3">
        <v>0.129</v>
      </c>
      <c r="S89" s="3">
        <v>0.129</v>
      </c>
      <c r="T89" s="3">
        <v>0.129</v>
      </c>
      <c r="U89" s="3">
        <v>0.13</v>
      </c>
      <c r="V89" s="3">
        <v>0.13</v>
      </c>
      <c r="W89" s="3">
        <v>0.129</v>
      </c>
      <c r="X89" s="3">
        <v>0.128</v>
      </c>
      <c r="Y89" s="3">
        <v>0.126</v>
      </c>
      <c r="Z89" s="3">
        <v>0.15</v>
      </c>
      <c r="AA89" s="3">
        <v>0.13100000000000001</v>
      </c>
      <c r="AB89" s="3">
        <v>0.13400000000000001</v>
      </c>
      <c r="AC89" s="3">
        <v>0.13600000000000001</v>
      </c>
      <c r="AD89" s="3">
        <v>0.127</v>
      </c>
      <c r="AE89" s="3">
        <v>0.13</v>
      </c>
      <c r="AF89" s="3">
        <v>0.127</v>
      </c>
      <c r="AG89" s="3">
        <v>0.127</v>
      </c>
    </row>
    <row r="90" spans="1:33" x14ac:dyDescent="0.2">
      <c r="A90" s="2">
        <v>5.4398148148148144E-4</v>
      </c>
      <c r="B90" s="3">
        <v>0.13500000000000001</v>
      </c>
      <c r="C90" s="3">
        <v>0.13800000000000001</v>
      </c>
      <c r="D90" s="3">
        <v>0.13</v>
      </c>
      <c r="E90" s="3">
        <v>0.13300000000000001</v>
      </c>
      <c r="F90" s="3">
        <v>0.127</v>
      </c>
      <c r="G90" s="3">
        <v>0.13500000000000001</v>
      </c>
      <c r="H90" s="3">
        <v>0.13300000000000001</v>
      </c>
      <c r="I90" s="3">
        <v>0.126</v>
      </c>
      <c r="J90" s="3">
        <v>0.13</v>
      </c>
      <c r="K90" s="3">
        <v>0.13200000000000001</v>
      </c>
      <c r="L90" s="3">
        <v>0.13</v>
      </c>
      <c r="M90" s="3">
        <v>0.13300000000000001</v>
      </c>
      <c r="N90" s="3">
        <v>0.13200000000000001</v>
      </c>
      <c r="O90" s="3">
        <v>0.14899999999999999</v>
      </c>
      <c r="P90" s="3">
        <v>0.13300000000000001</v>
      </c>
      <c r="Q90" s="3">
        <v>0.129</v>
      </c>
      <c r="R90" s="3">
        <v>0.13</v>
      </c>
      <c r="S90" s="3">
        <v>0.13</v>
      </c>
      <c r="T90" s="3">
        <v>0.13</v>
      </c>
      <c r="U90" s="3">
        <v>0.13100000000000001</v>
      </c>
      <c r="V90" s="3">
        <v>0.13100000000000001</v>
      </c>
      <c r="W90" s="3">
        <v>0.13</v>
      </c>
      <c r="X90" s="3">
        <v>0.128</v>
      </c>
      <c r="Y90" s="3">
        <v>0.127</v>
      </c>
      <c r="Z90" s="3">
        <v>0.14899999999999999</v>
      </c>
      <c r="AA90" s="3">
        <v>0.13200000000000001</v>
      </c>
      <c r="AB90" s="3">
        <v>0.13400000000000001</v>
      </c>
      <c r="AC90" s="3">
        <v>0.13700000000000001</v>
      </c>
      <c r="AD90" s="3">
        <v>0.127</v>
      </c>
      <c r="AE90" s="3">
        <v>0.13100000000000001</v>
      </c>
      <c r="AF90" s="3">
        <v>0.128</v>
      </c>
      <c r="AG90" s="3">
        <v>0.128</v>
      </c>
    </row>
    <row r="91" spans="1:33" x14ac:dyDescent="0.2">
      <c r="A91" s="2">
        <v>1.0879629629629629E-3</v>
      </c>
      <c r="B91" s="3">
        <v>0.13600000000000001</v>
      </c>
      <c r="C91" s="3">
        <v>0.13900000000000001</v>
      </c>
      <c r="D91" s="3">
        <v>0.13200000000000001</v>
      </c>
      <c r="E91" s="3">
        <v>0.13500000000000001</v>
      </c>
      <c r="F91" s="3">
        <v>0.128</v>
      </c>
      <c r="G91" s="3">
        <v>0.13700000000000001</v>
      </c>
      <c r="H91" s="3">
        <v>0.13500000000000001</v>
      </c>
      <c r="I91" s="3">
        <v>0.127</v>
      </c>
      <c r="J91" s="3">
        <v>0.13100000000000001</v>
      </c>
      <c r="K91" s="3">
        <v>0.13300000000000001</v>
      </c>
      <c r="L91" s="3">
        <v>0.13100000000000001</v>
      </c>
      <c r="M91" s="3">
        <v>0.13400000000000001</v>
      </c>
      <c r="N91" s="3">
        <v>0.13300000000000001</v>
      </c>
      <c r="O91" s="3">
        <v>0.15</v>
      </c>
      <c r="P91" s="3">
        <v>0.13400000000000001</v>
      </c>
      <c r="Q91" s="3">
        <v>0.129</v>
      </c>
      <c r="R91" s="3">
        <v>0.13100000000000001</v>
      </c>
      <c r="S91" s="3">
        <v>0.13100000000000001</v>
      </c>
      <c r="T91" s="3">
        <v>0.13100000000000001</v>
      </c>
      <c r="U91" s="3">
        <v>0.13200000000000001</v>
      </c>
      <c r="V91" s="3">
        <v>0.13100000000000001</v>
      </c>
      <c r="W91" s="3">
        <v>0.13</v>
      </c>
      <c r="X91" s="3">
        <v>0.129</v>
      </c>
      <c r="Y91" s="3">
        <v>0.128</v>
      </c>
      <c r="Z91" s="3">
        <v>0.151</v>
      </c>
      <c r="AA91" s="3">
        <v>0.13300000000000001</v>
      </c>
      <c r="AB91" s="3">
        <v>0.13500000000000001</v>
      </c>
      <c r="AC91" s="3">
        <v>0.13800000000000001</v>
      </c>
      <c r="AD91" s="3">
        <v>0.128</v>
      </c>
      <c r="AE91" s="3">
        <v>0.13100000000000001</v>
      </c>
      <c r="AF91" s="3">
        <v>0.129</v>
      </c>
      <c r="AG91" s="3">
        <v>0.128</v>
      </c>
    </row>
    <row r="92" spans="1:33" x14ac:dyDescent="0.2">
      <c r="A92" s="2">
        <v>1.6319444444444445E-3</v>
      </c>
      <c r="B92" s="3">
        <v>0.13700000000000001</v>
      </c>
      <c r="C92" s="3">
        <v>0.14099999999999999</v>
      </c>
      <c r="D92" s="3">
        <v>0.13400000000000001</v>
      </c>
      <c r="E92" s="3">
        <v>0.13800000000000001</v>
      </c>
      <c r="F92" s="3">
        <v>0.129</v>
      </c>
      <c r="G92" s="3">
        <v>0.13800000000000001</v>
      </c>
      <c r="H92" s="3">
        <v>0.13700000000000001</v>
      </c>
      <c r="I92" s="3">
        <v>0.128</v>
      </c>
      <c r="J92" s="3">
        <v>0.13300000000000001</v>
      </c>
      <c r="K92" s="3">
        <v>0.13400000000000001</v>
      </c>
      <c r="L92" s="3">
        <v>0.13200000000000001</v>
      </c>
      <c r="M92" s="3">
        <v>0.13500000000000001</v>
      </c>
      <c r="N92" s="3">
        <v>0.13400000000000001</v>
      </c>
      <c r="O92" s="3">
        <v>0.152</v>
      </c>
      <c r="P92" s="3">
        <v>0.13500000000000001</v>
      </c>
      <c r="Q92" s="3">
        <v>0.13</v>
      </c>
      <c r="R92" s="3">
        <v>0.13200000000000001</v>
      </c>
      <c r="S92" s="3">
        <v>0.13200000000000001</v>
      </c>
      <c r="T92" s="3">
        <v>0.13200000000000001</v>
      </c>
      <c r="U92" s="3">
        <v>0.13400000000000001</v>
      </c>
      <c r="V92" s="3">
        <v>0.13200000000000001</v>
      </c>
      <c r="W92" s="3">
        <v>0.13100000000000001</v>
      </c>
      <c r="X92" s="3">
        <v>0.13</v>
      </c>
      <c r="Y92" s="3">
        <v>0.129</v>
      </c>
      <c r="Z92" s="3">
        <v>0.152</v>
      </c>
      <c r="AA92" s="3">
        <v>0.13400000000000001</v>
      </c>
      <c r="AB92" s="3">
        <v>0.13600000000000001</v>
      </c>
      <c r="AC92" s="3">
        <v>0.13900000000000001</v>
      </c>
      <c r="AD92" s="3">
        <v>0.128</v>
      </c>
      <c r="AE92" s="3">
        <v>0.13300000000000001</v>
      </c>
      <c r="AF92" s="3">
        <v>0.13</v>
      </c>
      <c r="AG92" s="3">
        <v>0.129</v>
      </c>
    </row>
    <row r="93" spans="1:33" x14ac:dyDescent="0.2">
      <c r="A93" s="2">
        <v>2.1759259259259258E-3</v>
      </c>
      <c r="B93" s="3">
        <v>0.14000000000000001</v>
      </c>
      <c r="C93" s="3">
        <v>0.14199999999999999</v>
      </c>
      <c r="D93" s="3">
        <v>0.13600000000000001</v>
      </c>
      <c r="E93" s="3">
        <v>0.14799999999999999</v>
      </c>
      <c r="F93" s="3">
        <v>0.13100000000000001</v>
      </c>
      <c r="G93" s="3">
        <v>0.14000000000000001</v>
      </c>
      <c r="H93" s="3">
        <v>0.13900000000000001</v>
      </c>
      <c r="I93" s="3">
        <v>0.13</v>
      </c>
      <c r="J93" s="3">
        <v>0.13400000000000001</v>
      </c>
      <c r="K93" s="3">
        <v>0.13600000000000001</v>
      </c>
      <c r="L93" s="3">
        <v>0.13300000000000001</v>
      </c>
      <c r="M93" s="3">
        <v>0.13600000000000001</v>
      </c>
      <c r="N93" s="3">
        <v>0.13600000000000001</v>
      </c>
      <c r="O93" s="3">
        <v>0.153</v>
      </c>
      <c r="P93" s="3">
        <v>0.13700000000000001</v>
      </c>
      <c r="Q93" s="3">
        <v>0.13100000000000001</v>
      </c>
      <c r="R93" s="3">
        <v>0.13300000000000001</v>
      </c>
      <c r="S93" s="3">
        <v>0.13300000000000001</v>
      </c>
      <c r="T93" s="3">
        <v>0.13300000000000001</v>
      </c>
      <c r="U93" s="3">
        <v>0.13500000000000001</v>
      </c>
      <c r="V93" s="3">
        <v>0.13300000000000001</v>
      </c>
      <c r="W93" s="3">
        <v>0.13200000000000001</v>
      </c>
      <c r="X93" s="3">
        <v>0.13100000000000001</v>
      </c>
      <c r="Y93" s="3">
        <v>0.13</v>
      </c>
      <c r="Z93" s="3">
        <v>0.154</v>
      </c>
      <c r="AA93" s="3">
        <v>0.13500000000000001</v>
      </c>
      <c r="AB93" s="3">
        <v>0.13600000000000001</v>
      </c>
      <c r="AC93" s="3">
        <v>0.14099999999999999</v>
      </c>
      <c r="AD93" s="3">
        <v>0.129</v>
      </c>
      <c r="AE93" s="3">
        <v>0.13300000000000001</v>
      </c>
      <c r="AF93" s="3">
        <v>0.13100000000000001</v>
      </c>
      <c r="AG93" s="3">
        <v>0.13</v>
      </c>
    </row>
    <row r="94" spans="1:33" x14ac:dyDescent="0.2">
      <c r="A94" s="2">
        <v>2.7199074074074074E-3</v>
      </c>
      <c r="B94" s="3">
        <v>0.14099999999999999</v>
      </c>
      <c r="C94" s="3">
        <v>0.14399999999999999</v>
      </c>
      <c r="D94" s="3">
        <v>0.13800000000000001</v>
      </c>
      <c r="E94" s="3">
        <v>0.14099999999999999</v>
      </c>
      <c r="F94" s="3">
        <v>0.13200000000000001</v>
      </c>
      <c r="G94" s="3">
        <v>0.14199999999999999</v>
      </c>
      <c r="H94" s="3">
        <v>0.14099999999999999</v>
      </c>
      <c r="I94" s="3">
        <v>0.13100000000000001</v>
      </c>
      <c r="J94" s="3">
        <v>0.13600000000000001</v>
      </c>
      <c r="K94" s="3">
        <v>0.13700000000000001</v>
      </c>
      <c r="L94" s="3">
        <v>0.13400000000000001</v>
      </c>
      <c r="M94" s="3">
        <v>0.13700000000000001</v>
      </c>
      <c r="N94" s="3">
        <v>0.13700000000000001</v>
      </c>
      <c r="O94" s="3">
        <v>0.154</v>
      </c>
      <c r="P94" s="3">
        <v>0.13900000000000001</v>
      </c>
      <c r="Q94" s="3">
        <v>0.13200000000000001</v>
      </c>
      <c r="R94" s="3">
        <v>0.13500000000000001</v>
      </c>
      <c r="S94" s="3">
        <v>0.13400000000000001</v>
      </c>
      <c r="T94" s="3">
        <v>0.13400000000000001</v>
      </c>
      <c r="U94" s="3">
        <v>0.13700000000000001</v>
      </c>
      <c r="V94" s="3">
        <v>0.13500000000000001</v>
      </c>
      <c r="W94" s="3">
        <v>0.13300000000000001</v>
      </c>
      <c r="X94" s="3">
        <v>0.13300000000000001</v>
      </c>
      <c r="Y94" s="3">
        <v>0.13100000000000001</v>
      </c>
      <c r="Z94" s="3">
        <v>0.156</v>
      </c>
      <c r="AA94" s="3">
        <v>0.13600000000000001</v>
      </c>
      <c r="AB94" s="3">
        <v>0.13800000000000001</v>
      </c>
      <c r="AC94" s="3">
        <v>0.14199999999999999</v>
      </c>
      <c r="AD94" s="3">
        <v>0.13</v>
      </c>
      <c r="AE94" s="3">
        <v>0.13400000000000001</v>
      </c>
      <c r="AF94" s="3">
        <v>0.13200000000000001</v>
      </c>
      <c r="AG94" s="3">
        <v>0.13</v>
      </c>
    </row>
    <row r="95" spans="1:33" x14ac:dyDescent="0.2">
      <c r="A95" s="2">
        <v>3.2638888888888891E-3</v>
      </c>
      <c r="B95" s="3">
        <v>0.14299999999999999</v>
      </c>
      <c r="C95" s="3">
        <v>0.14599999999999999</v>
      </c>
      <c r="D95" s="3">
        <v>0.14000000000000001</v>
      </c>
      <c r="E95" s="3">
        <v>0.14199999999999999</v>
      </c>
      <c r="F95" s="3">
        <v>0.13400000000000001</v>
      </c>
      <c r="G95" s="3">
        <v>0.14299999999999999</v>
      </c>
      <c r="H95" s="3">
        <v>0.14299999999999999</v>
      </c>
      <c r="I95" s="3">
        <v>0.13300000000000001</v>
      </c>
      <c r="J95" s="3">
        <v>0.13800000000000001</v>
      </c>
      <c r="K95" s="3">
        <v>0.13900000000000001</v>
      </c>
      <c r="L95" s="3">
        <v>0.13500000000000001</v>
      </c>
      <c r="M95" s="3">
        <v>0.13900000000000001</v>
      </c>
      <c r="N95" s="3">
        <v>0.13900000000000001</v>
      </c>
      <c r="O95" s="3">
        <v>0.157</v>
      </c>
      <c r="P95" s="3">
        <v>0.14000000000000001</v>
      </c>
      <c r="Q95" s="3">
        <v>0.13300000000000001</v>
      </c>
      <c r="R95" s="3">
        <v>0.13600000000000001</v>
      </c>
      <c r="S95" s="3">
        <v>0.13500000000000001</v>
      </c>
      <c r="T95" s="3">
        <v>0.13600000000000001</v>
      </c>
      <c r="U95" s="3">
        <v>0.13800000000000001</v>
      </c>
      <c r="V95" s="3">
        <v>0.13600000000000001</v>
      </c>
      <c r="W95" s="3">
        <v>0.13400000000000001</v>
      </c>
      <c r="X95" s="3">
        <v>0.13400000000000001</v>
      </c>
      <c r="Y95" s="3">
        <v>0.13200000000000001</v>
      </c>
      <c r="Z95" s="3">
        <v>0.158</v>
      </c>
      <c r="AA95" s="3">
        <v>0.13800000000000001</v>
      </c>
      <c r="AB95" s="3">
        <v>0.13800000000000001</v>
      </c>
      <c r="AC95" s="3">
        <v>0.14399999999999999</v>
      </c>
      <c r="AD95" s="3">
        <v>0.13100000000000001</v>
      </c>
      <c r="AE95" s="3">
        <v>0.13500000000000001</v>
      </c>
      <c r="AF95" s="3">
        <v>0.13400000000000001</v>
      </c>
      <c r="AG95" s="3">
        <v>0.13200000000000001</v>
      </c>
    </row>
    <row r="96" spans="1:33" x14ac:dyDescent="0.2">
      <c r="A96" s="2">
        <v>3.8078703703703703E-3</v>
      </c>
      <c r="B96" s="3">
        <v>0.14499999999999999</v>
      </c>
      <c r="C96" s="3">
        <v>0.14899999999999999</v>
      </c>
      <c r="D96" s="3">
        <v>0.14199999999999999</v>
      </c>
      <c r="E96" s="3">
        <v>0.14399999999999999</v>
      </c>
      <c r="F96" s="3">
        <v>0.13600000000000001</v>
      </c>
      <c r="G96" s="3">
        <v>0.14599999999999999</v>
      </c>
      <c r="H96" s="3">
        <v>0.14599999999999999</v>
      </c>
      <c r="I96" s="3">
        <v>0.13500000000000001</v>
      </c>
      <c r="J96" s="3">
        <v>0.14000000000000001</v>
      </c>
      <c r="K96" s="3">
        <v>0.14099999999999999</v>
      </c>
      <c r="L96" s="3">
        <v>0.13600000000000001</v>
      </c>
      <c r="M96" s="3">
        <v>0.14099999999999999</v>
      </c>
      <c r="N96" s="3">
        <v>0.14099999999999999</v>
      </c>
      <c r="O96" s="3">
        <v>0.157</v>
      </c>
      <c r="P96" s="3">
        <v>0.14299999999999999</v>
      </c>
      <c r="Q96" s="3">
        <v>0.13500000000000001</v>
      </c>
      <c r="R96" s="3">
        <v>0.13800000000000001</v>
      </c>
      <c r="S96" s="3">
        <v>0.13800000000000001</v>
      </c>
      <c r="T96" s="3">
        <v>0.13800000000000001</v>
      </c>
      <c r="U96" s="3">
        <v>0.14099999999999999</v>
      </c>
      <c r="V96" s="3">
        <v>0.13800000000000001</v>
      </c>
      <c r="W96" s="3">
        <v>0.13500000000000001</v>
      </c>
      <c r="X96" s="3">
        <v>0.13500000000000001</v>
      </c>
      <c r="Y96" s="3">
        <v>0.13400000000000001</v>
      </c>
      <c r="Z96" s="3">
        <v>0.16</v>
      </c>
      <c r="AA96" s="3">
        <v>0.14000000000000001</v>
      </c>
      <c r="AB96" s="3">
        <v>0.13800000000000001</v>
      </c>
      <c r="AC96" s="3">
        <v>0.14599999999999999</v>
      </c>
      <c r="AD96" s="3">
        <v>0.13100000000000001</v>
      </c>
      <c r="AE96" s="3">
        <v>0.13700000000000001</v>
      </c>
      <c r="AF96" s="3">
        <v>0.13600000000000001</v>
      </c>
      <c r="AG96" s="3">
        <v>0.13300000000000001</v>
      </c>
    </row>
    <row r="97" spans="1:33" x14ac:dyDescent="0.2">
      <c r="A97" s="2">
        <v>4.3518518518518515E-3</v>
      </c>
      <c r="B97" s="3">
        <v>0.14699999999999999</v>
      </c>
      <c r="C97" s="3">
        <v>0.151</v>
      </c>
      <c r="D97" s="3">
        <v>0.14499999999999999</v>
      </c>
      <c r="E97" s="3">
        <v>0.14599999999999999</v>
      </c>
      <c r="F97" s="3">
        <v>0.13800000000000001</v>
      </c>
      <c r="G97" s="3">
        <v>0.14799999999999999</v>
      </c>
      <c r="H97" s="3">
        <v>0.14799999999999999</v>
      </c>
      <c r="I97" s="3">
        <v>0.13700000000000001</v>
      </c>
      <c r="J97" s="3">
        <v>0.14299999999999999</v>
      </c>
      <c r="K97" s="3">
        <v>0.14299999999999999</v>
      </c>
      <c r="L97" s="3">
        <v>0.13700000000000001</v>
      </c>
      <c r="M97" s="3">
        <v>0.14199999999999999</v>
      </c>
      <c r="N97" s="3">
        <v>0.14299999999999999</v>
      </c>
      <c r="O97" s="3">
        <v>0.16</v>
      </c>
      <c r="P97" s="3">
        <v>0.14499999999999999</v>
      </c>
      <c r="Q97" s="3">
        <v>0.13600000000000001</v>
      </c>
      <c r="R97" s="3">
        <v>0.14000000000000001</v>
      </c>
      <c r="S97" s="3">
        <v>0.13900000000000001</v>
      </c>
      <c r="T97" s="3">
        <v>0.13900000000000001</v>
      </c>
      <c r="U97" s="3">
        <v>0.14299999999999999</v>
      </c>
      <c r="V97" s="3">
        <v>0.14000000000000001</v>
      </c>
      <c r="W97" s="3">
        <v>0.13600000000000001</v>
      </c>
      <c r="X97" s="3">
        <v>0.13700000000000001</v>
      </c>
      <c r="Y97" s="3">
        <v>0.13600000000000001</v>
      </c>
      <c r="Z97" s="3">
        <v>0.16300000000000001</v>
      </c>
      <c r="AA97" s="3">
        <v>0.14199999999999999</v>
      </c>
      <c r="AB97" s="3">
        <v>0.13900000000000001</v>
      </c>
      <c r="AC97" s="3">
        <v>0.14799999999999999</v>
      </c>
      <c r="AD97" s="3">
        <v>0.13200000000000001</v>
      </c>
      <c r="AE97" s="3">
        <v>0.13800000000000001</v>
      </c>
      <c r="AF97" s="3">
        <v>0.13700000000000001</v>
      </c>
      <c r="AG97" s="3">
        <v>0.13400000000000001</v>
      </c>
    </row>
    <row r="98" spans="1:33" x14ac:dyDescent="0.2">
      <c r="A98" s="2">
        <v>4.8958333333333336E-3</v>
      </c>
      <c r="B98" s="3">
        <v>0.15</v>
      </c>
      <c r="C98" s="3">
        <v>0.153</v>
      </c>
      <c r="D98" s="3">
        <v>0.14799999999999999</v>
      </c>
      <c r="E98" s="3">
        <v>0.14899999999999999</v>
      </c>
      <c r="F98" s="3">
        <v>0.14000000000000001</v>
      </c>
      <c r="G98" s="3">
        <v>0.15</v>
      </c>
      <c r="H98" s="3">
        <v>0.151</v>
      </c>
      <c r="I98" s="3">
        <v>0.13900000000000001</v>
      </c>
      <c r="J98" s="3">
        <v>0.14499999999999999</v>
      </c>
      <c r="K98" s="3">
        <v>0.14499999999999999</v>
      </c>
      <c r="L98" s="3">
        <v>0.13900000000000001</v>
      </c>
      <c r="M98" s="3">
        <v>0.14399999999999999</v>
      </c>
      <c r="N98" s="3">
        <v>0.14499999999999999</v>
      </c>
      <c r="O98" s="3">
        <v>0.16300000000000001</v>
      </c>
      <c r="P98" s="3">
        <v>0.14699999999999999</v>
      </c>
      <c r="Q98" s="3">
        <v>0.13800000000000001</v>
      </c>
      <c r="R98" s="3">
        <v>0.14199999999999999</v>
      </c>
      <c r="S98" s="3">
        <v>0.14000000000000001</v>
      </c>
      <c r="T98" s="3">
        <v>0.14099999999999999</v>
      </c>
      <c r="U98" s="3">
        <v>0.14499999999999999</v>
      </c>
      <c r="V98" s="3">
        <v>0.14199999999999999</v>
      </c>
      <c r="W98" s="3">
        <v>0.13700000000000001</v>
      </c>
      <c r="X98" s="3">
        <v>0.13900000000000001</v>
      </c>
      <c r="Y98" s="3">
        <v>0.13800000000000001</v>
      </c>
      <c r="Z98" s="3">
        <v>0.16500000000000001</v>
      </c>
      <c r="AA98" s="3">
        <v>0.14299999999999999</v>
      </c>
      <c r="AB98" s="3">
        <v>0.14000000000000001</v>
      </c>
      <c r="AC98" s="3">
        <v>0.15</v>
      </c>
      <c r="AD98" s="3">
        <v>0.13300000000000001</v>
      </c>
      <c r="AE98" s="3">
        <v>0.14000000000000001</v>
      </c>
      <c r="AF98" s="3">
        <v>0.13900000000000001</v>
      </c>
      <c r="AG98" s="3">
        <v>0.13600000000000001</v>
      </c>
    </row>
    <row r="99" spans="1:33" x14ac:dyDescent="0.2">
      <c r="A99" s="2">
        <v>5.4398148148148149E-3</v>
      </c>
      <c r="B99" s="3">
        <v>0.152</v>
      </c>
      <c r="C99" s="3">
        <v>0.155</v>
      </c>
      <c r="D99" s="3">
        <v>0.15</v>
      </c>
      <c r="E99" s="3">
        <v>0.151</v>
      </c>
      <c r="F99" s="3">
        <v>0.14199999999999999</v>
      </c>
      <c r="G99" s="3">
        <v>0.152</v>
      </c>
      <c r="H99" s="3">
        <v>0.154</v>
      </c>
      <c r="I99" s="3">
        <v>0.14099999999999999</v>
      </c>
      <c r="J99" s="3">
        <v>0.14799999999999999</v>
      </c>
      <c r="K99" s="3">
        <v>0.14699999999999999</v>
      </c>
      <c r="L99" s="3">
        <v>0.14000000000000001</v>
      </c>
      <c r="M99" s="3">
        <v>0.14599999999999999</v>
      </c>
      <c r="N99" s="3">
        <v>0.14799999999999999</v>
      </c>
      <c r="O99" s="3">
        <v>0.16400000000000001</v>
      </c>
      <c r="P99" s="3">
        <v>0.14899999999999999</v>
      </c>
      <c r="Q99" s="3">
        <v>0.14000000000000001</v>
      </c>
      <c r="R99" s="3">
        <v>0.14399999999999999</v>
      </c>
      <c r="S99" s="3">
        <v>0.14199999999999999</v>
      </c>
      <c r="T99" s="3">
        <v>0.14299999999999999</v>
      </c>
      <c r="U99" s="3">
        <v>0.14699999999999999</v>
      </c>
      <c r="V99" s="3">
        <v>0.14399999999999999</v>
      </c>
      <c r="W99" s="3">
        <v>0.13900000000000001</v>
      </c>
      <c r="X99" s="3">
        <v>0.14099999999999999</v>
      </c>
      <c r="Y99" s="3">
        <v>0.14000000000000001</v>
      </c>
      <c r="Z99" s="3">
        <v>0.16800000000000001</v>
      </c>
      <c r="AA99" s="3">
        <v>0.14499999999999999</v>
      </c>
      <c r="AB99" s="3">
        <v>0.14000000000000001</v>
      </c>
      <c r="AC99" s="3">
        <v>0.153</v>
      </c>
      <c r="AD99" s="3">
        <v>0.13500000000000001</v>
      </c>
      <c r="AE99" s="3">
        <v>0.14099999999999999</v>
      </c>
      <c r="AF99" s="3">
        <v>0.14099999999999999</v>
      </c>
      <c r="AG99" s="3">
        <v>0.13800000000000001</v>
      </c>
    </row>
    <row r="100" spans="1:33" x14ac:dyDescent="0.2">
      <c r="A100" s="2">
        <v>5.9837962962962961E-3</v>
      </c>
      <c r="B100" s="3">
        <v>0.154</v>
      </c>
      <c r="C100" s="3">
        <v>0.158</v>
      </c>
      <c r="D100" s="3">
        <v>0.153</v>
      </c>
      <c r="E100" s="3">
        <v>0.153</v>
      </c>
      <c r="F100" s="3">
        <v>0.14499999999999999</v>
      </c>
      <c r="G100" s="3">
        <v>0.154</v>
      </c>
      <c r="H100" s="3">
        <v>0.157</v>
      </c>
      <c r="I100" s="3">
        <v>0.14299999999999999</v>
      </c>
      <c r="J100" s="3">
        <v>0.15</v>
      </c>
      <c r="K100" s="3">
        <v>0.14899999999999999</v>
      </c>
      <c r="L100" s="3">
        <v>0.14199999999999999</v>
      </c>
      <c r="M100" s="3">
        <v>0.14799999999999999</v>
      </c>
      <c r="N100" s="3">
        <v>0.15</v>
      </c>
      <c r="O100" s="3">
        <v>0.16600000000000001</v>
      </c>
      <c r="P100" s="3">
        <v>0.151</v>
      </c>
      <c r="Q100" s="3">
        <v>0.14099999999999999</v>
      </c>
      <c r="R100" s="3">
        <v>0.14599999999999999</v>
      </c>
      <c r="S100" s="3">
        <v>0.14399999999999999</v>
      </c>
      <c r="T100" s="3">
        <v>0.14499999999999999</v>
      </c>
      <c r="U100" s="3">
        <v>0.15</v>
      </c>
      <c r="V100" s="3">
        <v>0.14599999999999999</v>
      </c>
      <c r="W100" s="3">
        <v>0.14000000000000001</v>
      </c>
      <c r="X100" s="3">
        <v>0.14199999999999999</v>
      </c>
      <c r="Y100" s="3">
        <v>0.14199999999999999</v>
      </c>
      <c r="Z100" s="3">
        <v>0.17100000000000001</v>
      </c>
      <c r="AA100" s="3">
        <v>0.14799999999999999</v>
      </c>
      <c r="AB100" s="3">
        <v>0.14099999999999999</v>
      </c>
      <c r="AC100" s="3">
        <v>0.155</v>
      </c>
      <c r="AD100" s="3">
        <v>0.13600000000000001</v>
      </c>
      <c r="AE100" s="3">
        <v>0.14299999999999999</v>
      </c>
      <c r="AF100" s="3">
        <v>0.14199999999999999</v>
      </c>
      <c r="AG100" s="3">
        <v>0.13900000000000001</v>
      </c>
    </row>
    <row r="101" spans="1:33" x14ac:dyDescent="0.2">
      <c r="A101" s="2">
        <v>6.5277777777777782E-3</v>
      </c>
      <c r="B101" s="3">
        <v>0.157</v>
      </c>
      <c r="C101" s="3">
        <v>0.16</v>
      </c>
      <c r="D101" s="3">
        <v>0.155</v>
      </c>
      <c r="E101" s="3">
        <v>0.156</v>
      </c>
      <c r="F101" s="3">
        <v>0.14699999999999999</v>
      </c>
      <c r="G101" s="3">
        <v>0.157</v>
      </c>
      <c r="H101" s="3">
        <v>0.16</v>
      </c>
      <c r="I101" s="3">
        <v>0.14499999999999999</v>
      </c>
      <c r="J101" s="3">
        <v>0.153</v>
      </c>
      <c r="K101" s="3">
        <v>0.152</v>
      </c>
      <c r="L101" s="3">
        <v>0.14299999999999999</v>
      </c>
      <c r="M101" s="3">
        <v>0.15</v>
      </c>
      <c r="N101" s="3">
        <v>0.152</v>
      </c>
      <c r="O101" s="3">
        <v>0.17</v>
      </c>
      <c r="P101" s="3">
        <v>0.154</v>
      </c>
      <c r="Q101" s="3">
        <v>0.14299999999999999</v>
      </c>
      <c r="R101" s="3">
        <v>0.14899999999999999</v>
      </c>
      <c r="S101" s="3">
        <v>0.14599999999999999</v>
      </c>
      <c r="T101" s="3">
        <v>0.14699999999999999</v>
      </c>
      <c r="U101" s="3">
        <v>0.152</v>
      </c>
      <c r="V101" s="3">
        <v>0.14899999999999999</v>
      </c>
      <c r="W101" s="3">
        <v>0.14199999999999999</v>
      </c>
      <c r="X101" s="3">
        <v>0.14399999999999999</v>
      </c>
      <c r="Y101" s="3">
        <v>0.14499999999999999</v>
      </c>
      <c r="Z101" s="3">
        <v>0.17399999999999999</v>
      </c>
      <c r="AA101" s="3">
        <v>0.14899999999999999</v>
      </c>
      <c r="AB101" s="3">
        <v>0.14199999999999999</v>
      </c>
      <c r="AC101" s="3">
        <v>0.158</v>
      </c>
      <c r="AD101" s="3">
        <v>0.13700000000000001</v>
      </c>
      <c r="AE101" s="3">
        <v>0.14499999999999999</v>
      </c>
      <c r="AF101" s="3">
        <v>0.14399999999999999</v>
      </c>
      <c r="AG101" s="3">
        <v>0.14099999999999999</v>
      </c>
    </row>
    <row r="102" spans="1:33" x14ac:dyDescent="0.2">
      <c r="B102">
        <f>SLOPE(B94:B101,$A$43:$A$50)</f>
        <v>4.1799392097264478</v>
      </c>
      <c r="C102">
        <f t="shared" ref="C102:AG102" si="55">SLOPE(C94:C101,$A$43:$A$50)</f>
        <v>4.2018237082066898</v>
      </c>
      <c r="D102">
        <f t="shared" si="55"/>
        <v>4.6176291793313045</v>
      </c>
      <c r="E102">
        <f t="shared" si="55"/>
        <v>4.026747720364745</v>
      </c>
      <c r="F102">
        <f t="shared" si="55"/>
        <v>3.9392097264437633</v>
      </c>
      <c r="G102">
        <f t="shared" si="55"/>
        <v>3.9392097264437727</v>
      </c>
      <c r="H102">
        <f t="shared" si="55"/>
        <v>5.0334346504559306</v>
      </c>
      <c r="I102">
        <f t="shared" si="55"/>
        <v>3.6765957446808444</v>
      </c>
      <c r="J102">
        <f t="shared" si="55"/>
        <v>4.4863221884498419</v>
      </c>
      <c r="K102">
        <f t="shared" si="55"/>
        <v>3.8297872340425494</v>
      </c>
      <c r="L102">
        <f t="shared" si="55"/>
        <v>2.4510638297872283</v>
      </c>
      <c r="M102">
        <f t="shared" si="55"/>
        <v>3.348328267477199</v>
      </c>
      <c r="N102">
        <f t="shared" si="55"/>
        <v>4.0048632218844942</v>
      </c>
      <c r="O102">
        <f t="shared" si="55"/>
        <v>3.9610942249240155</v>
      </c>
      <c r="P102">
        <f t="shared" si="55"/>
        <v>3.9392097264437651</v>
      </c>
      <c r="Q102">
        <f t="shared" si="55"/>
        <v>2.9325227963525791</v>
      </c>
      <c r="R102">
        <f t="shared" si="55"/>
        <v>3.6765957446808439</v>
      </c>
      <c r="S102">
        <f t="shared" si="55"/>
        <v>3.1075987841945225</v>
      </c>
      <c r="T102">
        <f t="shared" si="55"/>
        <v>3.3483282674771968</v>
      </c>
      <c r="U102">
        <f t="shared" si="55"/>
        <v>4.0486322188449808</v>
      </c>
      <c r="V102">
        <f t="shared" si="55"/>
        <v>3.6765957446808439</v>
      </c>
      <c r="W102">
        <f t="shared" si="55"/>
        <v>2.3197568389057728</v>
      </c>
      <c r="X102">
        <f t="shared" si="55"/>
        <v>2.9981762917933064</v>
      </c>
      <c r="Y102">
        <f t="shared" si="55"/>
        <v>3.6765957446808466</v>
      </c>
      <c r="Z102">
        <f t="shared" si="55"/>
        <v>4.7489361702127653</v>
      </c>
      <c r="AA102">
        <f t="shared" si="55"/>
        <v>3.4358662613981705</v>
      </c>
      <c r="AB102">
        <f t="shared" si="55"/>
        <v>1.0942249240121518</v>
      </c>
      <c r="AC102">
        <f t="shared" si="55"/>
        <v>4.1580547112462032</v>
      </c>
      <c r="AD102">
        <f t="shared" si="55"/>
        <v>1.9039513677811568</v>
      </c>
      <c r="AE102">
        <f t="shared" si="55"/>
        <v>2.8668693009118469</v>
      </c>
      <c r="AF102">
        <f t="shared" si="55"/>
        <v>3.0857142857142787</v>
      </c>
      <c r="AG102">
        <f t="shared" si="55"/>
        <v>2.823100303951366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4053-1A36-46C3-9C92-899B020D5702}">
  <dimension ref="A1:AO52"/>
  <sheetViews>
    <sheetView workbookViewId="0">
      <selection activeCell="B54" sqref="B54"/>
    </sheetView>
  </sheetViews>
  <sheetFormatPr baseColWidth="10" defaultColWidth="8.83203125" defaultRowHeight="15" x14ac:dyDescent="0.2"/>
  <cols>
    <col min="2" max="2" width="10" bestFit="1" customWidth="1"/>
  </cols>
  <sheetData>
    <row r="1" spans="1:41" x14ac:dyDescent="0.2">
      <c r="A1" t="s">
        <v>38</v>
      </c>
    </row>
    <row r="2" spans="1:4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41" x14ac:dyDescent="0.2">
      <c r="A3" s="2">
        <v>0</v>
      </c>
      <c r="B3" s="3">
        <v>0.13400000000000001</v>
      </c>
      <c r="C3" s="3">
        <v>0.129</v>
      </c>
      <c r="D3" s="3">
        <v>0.13100000000000001</v>
      </c>
      <c r="E3" s="3">
        <v>0.13600000000000001</v>
      </c>
      <c r="F3" s="3">
        <v>0.125</v>
      </c>
      <c r="G3" s="3">
        <v>0.14099999999999999</v>
      </c>
      <c r="H3" s="3">
        <v>0.13600000000000001</v>
      </c>
      <c r="I3" s="3">
        <v>0.128</v>
      </c>
      <c r="J3" s="3">
        <v>7.2999999999999995E-2</v>
      </c>
      <c r="K3" s="3">
        <v>0.13200000000000001</v>
      </c>
      <c r="L3" s="3">
        <v>0.17199999999999999</v>
      </c>
      <c r="M3" s="3">
        <v>0.126</v>
      </c>
      <c r="N3" s="3">
        <v>0.13600000000000001</v>
      </c>
      <c r="O3" s="3">
        <v>0.13</v>
      </c>
      <c r="P3" s="3">
        <v>0.13700000000000001</v>
      </c>
      <c r="Q3" s="3">
        <v>0.13100000000000001</v>
      </c>
      <c r="R3" s="3">
        <v>0.124</v>
      </c>
      <c r="S3" s="3">
        <v>0.114</v>
      </c>
      <c r="T3" s="3">
        <v>0.13100000000000001</v>
      </c>
      <c r="U3" s="3">
        <v>0.129</v>
      </c>
      <c r="V3" s="3">
        <v>0.13100000000000001</v>
      </c>
      <c r="W3" s="3">
        <v>0.123</v>
      </c>
      <c r="X3" s="3">
        <v>0.127</v>
      </c>
      <c r="Y3" s="3">
        <v>0.126</v>
      </c>
      <c r="Z3" s="3">
        <v>0.123</v>
      </c>
      <c r="AA3" s="3">
        <v>0.128</v>
      </c>
      <c r="AB3" s="3">
        <v>0.113</v>
      </c>
      <c r="AC3" s="3">
        <v>0.13300000000000001</v>
      </c>
      <c r="AD3" s="3">
        <v>0.13700000000000001</v>
      </c>
      <c r="AE3" s="3">
        <v>0.124</v>
      </c>
      <c r="AF3" s="3">
        <v>0.13400000000000001</v>
      </c>
      <c r="AG3" s="3">
        <v>0.129</v>
      </c>
      <c r="AH3" s="3">
        <v>0.122</v>
      </c>
      <c r="AI3" s="3">
        <v>0.13100000000000001</v>
      </c>
      <c r="AJ3" s="3">
        <v>0.125</v>
      </c>
      <c r="AK3" s="3">
        <v>0.124</v>
      </c>
      <c r="AL3" s="3">
        <v>0.114</v>
      </c>
      <c r="AO3" t="s">
        <v>57</v>
      </c>
    </row>
    <row r="4" spans="1:41" x14ac:dyDescent="0.2">
      <c r="A4" s="2">
        <v>5.4398148148148144E-4</v>
      </c>
      <c r="B4" s="3">
        <v>0.13500000000000001</v>
      </c>
      <c r="C4" s="3">
        <v>0.13100000000000001</v>
      </c>
      <c r="D4" s="3">
        <v>0.13200000000000001</v>
      </c>
      <c r="E4" s="3">
        <v>0.13600000000000001</v>
      </c>
      <c r="F4" s="3">
        <v>0.126</v>
      </c>
      <c r="G4" s="3">
        <v>0.14199999999999999</v>
      </c>
      <c r="H4" s="3">
        <v>0.13700000000000001</v>
      </c>
      <c r="I4" s="3">
        <v>0.129</v>
      </c>
      <c r="J4" s="3">
        <v>7.2999999999999995E-2</v>
      </c>
      <c r="K4" s="3">
        <v>0.13300000000000001</v>
      </c>
      <c r="L4" s="3">
        <v>0.17399999999999999</v>
      </c>
      <c r="M4" s="3">
        <v>0.126</v>
      </c>
      <c r="N4" s="3">
        <v>0.13800000000000001</v>
      </c>
      <c r="O4" s="3">
        <v>0.13100000000000001</v>
      </c>
      <c r="P4" s="3">
        <v>0.13700000000000001</v>
      </c>
      <c r="Q4" s="3">
        <v>0.13200000000000001</v>
      </c>
      <c r="R4" s="3">
        <v>0.125</v>
      </c>
      <c r="S4" s="3">
        <v>0.114</v>
      </c>
      <c r="T4" s="3">
        <v>0.13100000000000001</v>
      </c>
      <c r="U4" s="3">
        <v>0.13</v>
      </c>
      <c r="V4" s="3">
        <v>0.13200000000000001</v>
      </c>
      <c r="W4" s="3">
        <v>0.123</v>
      </c>
      <c r="X4" s="3">
        <v>0.128</v>
      </c>
      <c r="Y4" s="3">
        <v>0.126</v>
      </c>
      <c r="Z4" s="3">
        <v>0.124</v>
      </c>
      <c r="AA4" s="3">
        <v>0.129</v>
      </c>
      <c r="AB4" s="3">
        <v>0.113</v>
      </c>
      <c r="AC4" s="3">
        <v>0.13500000000000001</v>
      </c>
      <c r="AD4" s="3">
        <v>0.13800000000000001</v>
      </c>
      <c r="AE4" s="3">
        <v>0.125</v>
      </c>
      <c r="AF4" s="3">
        <v>0.13400000000000001</v>
      </c>
      <c r="AG4" s="3">
        <v>0.13100000000000001</v>
      </c>
      <c r="AH4" s="3">
        <v>0.123</v>
      </c>
      <c r="AI4" s="3">
        <v>0.13100000000000001</v>
      </c>
      <c r="AJ4" s="3">
        <v>0.126</v>
      </c>
      <c r="AK4" s="3">
        <v>0.125</v>
      </c>
      <c r="AL4" s="3">
        <v>0.113</v>
      </c>
      <c r="AO4">
        <f>AVERAGE(J16,S16,AB16,AL16)</f>
        <v>0</v>
      </c>
    </row>
    <row r="5" spans="1:41" x14ac:dyDescent="0.2">
      <c r="A5" s="2">
        <v>1.0879629629629629E-3</v>
      </c>
      <c r="B5" s="3">
        <v>0.13600000000000001</v>
      </c>
      <c r="C5" s="3">
        <v>0.13200000000000001</v>
      </c>
      <c r="D5" s="3">
        <v>0.13300000000000001</v>
      </c>
      <c r="E5" s="3">
        <v>0.13600000000000001</v>
      </c>
      <c r="F5" s="3">
        <v>0.128</v>
      </c>
      <c r="G5" s="3">
        <v>0.14299999999999999</v>
      </c>
      <c r="H5" s="3">
        <v>0.13900000000000001</v>
      </c>
      <c r="I5" s="3">
        <v>0.13</v>
      </c>
      <c r="J5" s="3">
        <v>7.2999999999999995E-2</v>
      </c>
      <c r="K5" s="3">
        <v>0.13500000000000001</v>
      </c>
      <c r="L5" s="3">
        <v>0.17599999999999999</v>
      </c>
      <c r="M5" s="3">
        <v>0.127</v>
      </c>
      <c r="N5" s="3">
        <v>0.13900000000000001</v>
      </c>
      <c r="O5" s="3">
        <v>0.13300000000000001</v>
      </c>
      <c r="P5" s="3">
        <v>0.14000000000000001</v>
      </c>
      <c r="Q5" s="3">
        <v>0.13900000000000001</v>
      </c>
      <c r="R5" s="3">
        <v>0.126</v>
      </c>
      <c r="S5" s="3">
        <v>0.114</v>
      </c>
      <c r="T5" s="3">
        <v>0.13300000000000001</v>
      </c>
      <c r="U5" s="3">
        <v>0.13100000000000001</v>
      </c>
      <c r="V5" s="3">
        <v>0.13300000000000001</v>
      </c>
      <c r="W5" s="3">
        <v>0.123</v>
      </c>
      <c r="X5" s="3">
        <v>0.129</v>
      </c>
      <c r="Y5" s="3">
        <v>0.127</v>
      </c>
      <c r="Z5" s="3">
        <v>0.124</v>
      </c>
      <c r="AA5" s="3">
        <v>0.13</v>
      </c>
      <c r="AB5" s="3">
        <v>0.113</v>
      </c>
      <c r="AC5" s="3">
        <v>0.13700000000000001</v>
      </c>
      <c r="AD5" s="3">
        <v>0.13900000000000001</v>
      </c>
      <c r="AE5" s="3">
        <v>0.126</v>
      </c>
      <c r="AF5" s="3">
        <v>0.13500000000000001</v>
      </c>
      <c r="AG5" s="3">
        <v>0.13200000000000001</v>
      </c>
      <c r="AH5" s="3">
        <v>0.123</v>
      </c>
      <c r="AI5" s="3">
        <v>0.13200000000000001</v>
      </c>
      <c r="AJ5" s="3">
        <v>0.127</v>
      </c>
      <c r="AK5" s="3">
        <v>0.125</v>
      </c>
      <c r="AL5" s="3">
        <v>0.114</v>
      </c>
    </row>
    <row r="6" spans="1:41" x14ac:dyDescent="0.2">
      <c r="A6" s="20">
        <v>1.6319444444444445E-3</v>
      </c>
      <c r="B6" s="3">
        <v>0.13700000000000001</v>
      </c>
      <c r="C6" s="3">
        <v>0.13300000000000001</v>
      </c>
      <c r="D6" s="3">
        <v>0.13500000000000001</v>
      </c>
      <c r="E6" s="3">
        <v>0.13800000000000001</v>
      </c>
      <c r="F6" s="3">
        <v>0.129</v>
      </c>
      <c r="G6" s="3">
        <v>0.14499999999999999</v>
      </c>
      <c r="H6" s="3">
        <v>0.14099999999999999</v>
      </c>
      <c r="I6" s="3">
        <v>0.13100000000000001</v>
      </c>
      <c r="J6" s="3">
        <v>7.2999999999999995E-2</v>
      </c>
      <c r="K6" s="3">
        <v>0.13600000000000001</v>
      </c>
      <c r="L6" s="3">
        <v>0.17799999999999999</v>
      </c>
      <c r="M6" s="3">
        <v>0.128</v>
      </c>
      <c r="N6" s="3">
        <v>0.14099999999999999</v>
      </c>
      <c r="O6" s="3">
        <v>0.13400000000000001</v>
      </c>
      <c r="P6" s="3">
        <v>0.14099999999999999</v>
      </c>
      <c r="Q6" s="3">
        <v>0.14599999999999999</v>
      </c>
      <c r="R6" s="3">
        <v>0.127</v>
      </c>
      <c r="S6" s="3">
        <v>0.114</v>
      </c>
      <c r="T6" s="3">
        <v>0.13400000000000001</v>
      </c>
      <c r="U6" s="3">
        <v>0.13200000000000001</v>
      </c>
      <c r="V6" s="3">
        <v>0.13500000000000001</v>
      </c>
      <c r="W6" s="3">
        <v>0.123</v>
      </c>
      <c r="X6" s="3">
        <v>0.13100000000000001</v>
      </c>
      <c r="Y6" s="3">
        <v>0.128</v>
      </c>
      <c r="Z6" s="3">
        <v>0.126</v>
      </c>
      <c r="AA6" s="3">
        <v>0.13100000000000001</v>
      </c>
      <c r="AB6" s="3">
        <v>0.113</v>
      </c>
      <c r="AC6" s="3">
        <v>0.13800000000000001</v>
      </c>
      <c r="AD6" s="3">
        <v>0.14000000000000001</v>
      </c>
      <c r="AE6" s="3">
        <v>0.127</v>
      </c>
      <c r="AF6" s="3">
        <v>0.13600000000000001</v>
      </c>
      <c r="AG6" s="3">
        <v>0.13300000000000001</v>
      </c>
      <c r="AH6" s="3">
        <v>0.124</v>
      </c>
      <c r="AI6" s="3">
        <v>0.13400000000000001</v>
      </c>
      <c r="AJ6" s="3">
        <v>0.128</v>
      </c>
      <c r="AK6" s="3">
        <v>0.126</v>
      </c>
      <c r="AL6" s="3">
        <v>0.114</v>
      </c>
    </row>
    <row r="7" spans="1:41" x14ac:dyDescent="0.2">
      <c r="A7" s="2">
        <v>2.1759259259259258E-3</v>
      </c>
      <c r="B7" s="3">
        <v>0.13900000000000001</v>
      </c>
      <c r="C7" s="3">
        <v>0.13500000000000001</v>
      </c>
      <c r="D7" s="3">
        <v>0.13700000000000001</v>
      </c>
      <c r="E7" s="3">
        <v>0.14099999999999999</v>
      </c>
      <c r="F7" s="3">
        <v>0.13100000000000001</v>
      </c>
      <c r="G7" s="3">
        <v>0.14799999999999999</v>
      </c>
      <c r="H7" s="3">
        <v>0.14299999999999999</v>
      </c>
      <c r="I7" s="3">
        <v>0.13300000000000001</v>
      </c>
      <c r="J7" s="3">
        <v>7.2999999999999995E-2</v>
      </c>
      <c r="K7" s="3">
        <v>0.13800000000000001</v>
      </c>
      <c r="L7" s="3">
        <v>0.18</v>
      </c>
      <c r="M7" s="3">
        <v>0.129</v>
      </c>
      <c r="N7" s="3">
        <v>0.14199999999999999</v>
      </c>
      <c r="O7" s="3">
        <v>0.13500000000000001</v>
      </c>
      <c r="P7" s="3">
        <v>0.14299999999999999</v>
      </c>
      <c r="Q7" s="3">
        <v>0.14499999999999999</v>
      </c>
      <c r="R7" s="3">
        <v>0.128</v>
      </c>
      <c r="S7" s="3">
        <v>0.114</v>
      </c>
      <c r="T7" s="3">
        <v>0.13500000000000001</v>
      </c>
      <c r="U7" s="3">
        <v>0.13400000000000001</v>
      </c>
      <c r="V7" s="3">
        <v>0.13600000000000001</v>
      </c>
      <c r="W7" s="3">
        <v>0.123</v>
      </c>
      <c r="X7" s="3">
        <v>0.13200000000000001</v>
      </c>
      <c r="Y7" s="3">
        <v>0.129</v>
      </c>
      <c r="Z7" s="3">
        <v>0.127</v>
      </c>
      <c r="AA7" s="3">
        <v>0.13200000000000001</v>
      </c>
      <c r="AB7" s="3">
        <v>0.113</v>
      </c>
      <c r="AC7" s="3">
        <v>0.14000000000000001</v>
      </c>
      <c r="AD7" s="3">
        <v>0.14199999999999999</v>
      </c>
      <c r="AE7" s="3">
        <v>0.128</v>
      </c>
      <c r="AF7" s="3">
        <v>0.13600000000000001</v>
      </c>
      <c r="AG7" s="3">
        <v>0.13500000000000001</v>
      </c>
      <c r="AH7" s="3">
        <v>0.125</v>
      </c>
      <c r="AI7" s="3">
        <v>0.13500000000000001</v>
      </c>
      <c r="AJ7" s="3">
        <v>0.129</v>
      </c>
      <c r="AK7" s="3">
        <v>0.127</v>
      </c>
      <c r="AL7" s="3">
        <v>0.114</v>
      </c>
    </row>
    <row r="8" spans="1:41" x14ac:dyDescent="0.2">
      <c r="A8" s="2">
        <v>2.7199074074074074E-3</v>
      </c>
      <c r="B8" s="3">
        <v>0.14000000000000001</v>
      </c>
      <c r="C8" s="3">
        <v>0.13600000000000001</v>
      </c>
      <c r="D8" s="3">
        <v>0.13900000000000001</v>
      </c>
      <c r="E8" s="3">
        <v>0.14000000000000001</v>
      </c>
      <c r="F8" s="3">
        <v>0.13200000000000001</v>
      </c>
      <c r="G8" s="3">
        <v>0.14899999999999999</v>
      </c>
      <c r="H8" s="3">
        <v>0.14399999999999999</v>
      </c>
      <c r="I8" s="3">
        <v>0.13500000000000001</v>
      </c>
      <c r="J8" s="3">
        <v>7.2999999999999995E-2</v>
      </c>
      <c r="K8" s="3">
        <v>0.13900000000000001</v>
      </c>
      <c r="L8" s="3">
        <v>0.18099999999999999</v>
      </c>
      <c r="M8" s="3">
        <v>0.13</v>
      </c>
      <c r="N8" s="3">
        <v>0.14399999999999999</v>
      </c>
      <c r="O8" s="3">
        <v>0.13600000000000001</v>
      </c>
      <c r="P8" s="3">
        <v>0.14499999999999999</v>
      </c>
      <c r="Q8" s="3">
        <v>0.14499999999999999</v>
      </c>
      <c r="R8" s="3">
        <v>0.129</v>
      </c>
      <c r="S8" s="3">
        <v>0.114</v>
      </c>
      <c r="T8" s="3">
        <v>0.13600000000000001</v>
      </c>
      <c r="U8" s="3">
        <v>0.13500000000000001</v>
      </c>
      <c r="V8" s="3">
        <v>0.13800000000000001</v>
      </c>
      <c r="W8" s="3">
        <v>0.123</v>
      </c>
      <c r="X8" s="3">
        <v>0.13300000000000001</v>
      </c>
      <c r="Y8" s="3">
        <v>0.13</v>
      </c>
      <c r="Z8" s="3">
        <v>0.128</v>
      </c>
      <c r="AA8" s="3">
        <v>0.13300000000000001</v>
      </c>
      <c r="AB8" s="3">
        <v>0.113</v>
      </c>
      <c r="AC8" s="3">
        <v>0.14199999999999999</v>
      </c>
      <c r="AD8" s="3">
        <v>0.14299999999999999</v>
      </c>
      <c r="AE8" s="3">
        <v>0.129</v>
      </c>
      <c r="AF8" s="3">
        <v>0.13700000000000001</v>
      </c>
      <c r="AG8" s="3">
        <v>0.13600000000000001</v>
      </c>
      <c r="AH8" s="3">
        <v>0.126</v>
      </c>
      <c r="AI8" s="3">
        <v>0.13600000000000001</v>
      </c>
      <c r="AJ8" s="3">
        <v>0.13</v>
      </c>
      <c r="AK8" s="3">
        <v>0.128</v>
      </c>
      <c r="AL8" s="3">
        <v>0.114</v>
      </c>
    </row>
    <row r="9" spans="1:41" x14ac:dyDescent="0.2">
      <c r="A9" s="2">
        <v>3.2638888888888891E-3</v>
      </c>
      <c r="B9" s="3">
        <v>0.14199999999999999</v>
      </c>
      <c r="C9" s="3">
        <v>0.13700000000000001</v>
      </c>
      <c r="D9" s="3">
        <v>0.14099999999999999</v>
      </c>
      <c r="E9" s="3">
        <v>0.14099999999999999</v>
      </c>
      <c r="F9" s="3">
        <v>0.13500000000000001</v>
      </c>
      <c r="G9" s="3">
        <v>0.15</v>
      </c>
      <c r="H9" s="3">
        <v>0.14599999999999999</v>
      </c>
      <c r="I9" s="3">
        <v>0.13700000000000001</v>
      </c>
      <c r="J9" s="3">
        <v>7.2999999999999995E-2</v>
      </c>
      <c r="K9" s="3">
        <v>0.14099999999999999</v>
      </c>
      <c r="L9" s="3">
        <v>0.183</v>
      </c>
      <c r="M9" s="3">
        <v>0.13200000000000001</v>
      </c>
      <c r="N9" s="3">
        <v>0.14599999999999999</v>
      </c>
      <c r="O9" s="3">
        <v>0.13800000000000001</v>
      </c>
      <c r="P9" s="3">
        <v>0.14699999999999999</v>
      </c>
      <c r="Q9" s="3">
        <v>0.14899999999999999</v>
      </c>
      <c r="R9" s="3">
        <v>0.13100000000000001</v>
      </c>
      <c r="S9" s="3">
        <v>0.114</v>
      </c>
      <c r="T9" s="3">
        <v>0.13800000000000001</v>
      </c>
      <c r="U9" s="3">
        <v>0.13700000000000001</v>
      </c>
      <c r="V9" s="3">
        <v>0.14000000000000001</v>
      </c>
      <c r="W9" s="3">
        <v>0.124</v>
      </c>
      <c r="X9" s="3">
        <v>0.13500000000000001</v>
      </c>
      <c r="Y9" s="3">
        <v>0.13100000000000001</v>
      </c>
      <c r="Z9" s="3">
        <v>0.129</v>
      </c>
      <c r="AA9" s="3">
        <v>0.13400000000000001</v>
      </c>
      <c r="AB9" s="3">
        <v>0.114</v>
      </c>
      <c r="AC9" s="3">
        <v>0.14399999999999999</v>
      </c>
      <c r="AD9" s="3">
        <v>0.14399999999999999</v>
      </c>
      <c r="AE9" s="3">
        <v>0.13</v>
      </c>
      <c r="AF9" s="3">
        <v>0.13900000000000001</v>
      </c>
      <c r="AG9" s="3">
        <v>0.13800000000000001</v>
      </c>
      <c r="AH9" s="3">
        <v>0.127</v>
      </c>
      <c r="AI9" s="3">
        <v>0.13800000000000001</v>
      </c>
      <c r="AJ9" s="3">
        <v>0.13200000000000001</v>
      </c>
      <c r="AK9" s="3">
        <v>0.129</v>
      </c>
      <c r="AL9" s="3">
        <v>0.114</v>
      </c>
    </row>
    <row r="10" spans="1:41" x14ac:dyDescent="0.2">
      <c r="A10" s="2">
        <v>3.8078703703703703E-3</v>
      </c>
      <c r="B10" s="3">
        <v>0.14399999999999999</v>
      </c>
      <c r="C10" s="3">
        <v>0.14000000000000001</v>
      </c>
      <c r="D10" s="3">
        <v>0.14299999999999999</v>
      </c>
      <c r="E10" s="3">
        <v>0.14299999999999999</v>
      </c>
      <c r="F10" s="3">
        <v>0.13600000000000001</v>
      </c>
      <c r="G10" s="3">
        <v>0.152</v>
      </c>
      <c r="H10" s="3">
        <v>0.14799999999999999</v>
      </c>
      <c r="I10" s="3">
        <v>0.13800000000000001</v>
      </c>
      <c r="J10" s="3">
        <v>7.2999999999999995E-2</v>
      </c>
      <c r="K10" s="3">
        <v>0.14299999999999999</v>
      </c>
      <c r="L10" s="3">
        <v>0.185</v>
      </c>
      <c r="M10" s="3">
        <v>0.13300000000000001</v>
      </c>
      <c r="N10" s="3">
        <v>0.14899999999999999</v>
      </c>
      <c r="O10" s="3">
        <v>0.14000000000000001</v>
      </c>
      <c r="P10" s="3">
        <v>0.14799999999999999</v>
      </c>
      <c r="Q10" s="3">
        <v>0.152</v>
      </c>
      <c r="R10" s="3">
        <v>0.13200000000000001</v>
      </c>
      <c r="S10" s="3">
        <v>0.114</v>
      </c>
      <c r="T10" s="3">
        <v>0.13900000000000001</v>
      </c>
      <c r="U10" s="3">
        <v>0.13800000000000001</v>
      </c>
      <c r="V10" s="3">
        <v>0.14099999999999999</v>
      </c>
      <c r="W10" s="3">
        <v>0.124</v>
      </c>
      <c r="X10" s="3">
        <v>0.13600000000000001</v>
      </c>
      <c r="Y10" s="3">
        <v>0.13200000000000001</v>
      </c>
      <c r="Z10" s="3">
        <v>0.13</v>
      </c>
      <c r="AA10" s="3">
        <v>0.13600000000000001</v>
      </c>
      <c r="AB10" s="3">
        <v>0.114</v>
      </c>
      <c r="AC10" s="3">
        <v>0.14599999999999999</v>
      </c>
      <c r="AD10" s="3">
        <v>0.14599999999999999</v>
      </c>
      <c r="AE10" s="3">
        <v>0.13200000000000001</v>
      </c>
      <c r="AF10" s="3">
        <v>0.14000000000000001</v>
      </c>
      <c r="AG10" s="3">
        <v>0.14000000000000001</v>
      </c>
      <c r="AH10" s="3">
        <v>0.128</v>
      </c>
      <c r="AI10" s="3">
        <v>0.13900000000000001</v>
      </c>
      <c r="AJ10" s="3">
        <v>0.13400000000000001</v>
      </c>
      <c r="AK10" s="3">
        <v>0.13</v>
      </c>
      <c r="AL10" s="3">
        <v>0.114</v>
      </c>
    </row>
    <row r="11" spans="1:41" x14ac:dyDescent="0.2">
      <c r="A11" s="2">
        <v>4.3518518518518515E-3</v>
      </c>
      <c r="B11" s="3">
        <v>0.14599999999999999</v>
      </c>
      <c r="C11" s="3">
        <v>0.14099999999999999</v>
      </c>
      <c r="D11" s="3">
        <v>0.14499999999999999</v>
      </c>
      <c r="E11" s="3">
        <v>0.14499999999999999</v>
      </c>
      <c r="F11" s="3">
        <v>0.13800000000000001</v>
      </c>
      <c r="G11" s="3">
        <v>0.154</v>
      </c>
      <c r="H11" s="3">
        <v>0.151</v>
      </c>
      <c r="I11" s="3">
        <v>0.14000000000000001</v>
      </c>
      <c r="J11" s="3">
        <v>7.2999999999999995E-2</v>
      </c>
      <c r="K11" s="3">
        <v>0.14499999999999999</v>
      </c>
      <c r="L11" s="3">
        <v>0.188</v>
      </c>
      <c r="M11" s="31">
        <v>0.13400000000000001</v>
      </c>
      <c r="N11" s="3">
        <v>0.151</v>
      </c>
      <c r="O11" s="3">
        <v>0.14199999999999999</v>
      </c>
      <c r="P11" s="3">
        <v>0.15</v>
      </c>
      <c r="Q11" s="3">
        <v>0.157</v>
      </c>
      <c r="R11" s="3">
        <v>0.13300000000000001</v>
      </c>
      <c r="S11" s="3">
        <v>0.114</v>
      </c>
      <c r="T11" s="3">
        <v>0.14099999999999999</v>
      </c>
      <c r="U11" s="3">
        <v>0.14000000000000001</v>
      </c>
      <c r="V11" s="3">
        <v>0.14299999999999999</v>
      </c>
      <c r="W11" s="3">
        <v>0.124</v>
      </c>
      <c r="X11" s="3">
        <v>0.13800000000000001</v>
      </c>
      <c r="Y11" s="3">
        <v>0.13300000000000001</v>
      </c>
      <c r="Z11" s="3">
        <v>0.13100000000000001</v>
      </c>
      <c r="AA11" s="3">
        <v>0.13700000000000001</v>
      </c>
      <c r="AB11" s="3">
        <v>0.114</v>
      </c>
      <c r="AC11" s="3">
        <v>0.14799999999999999</v>
      </c>
      <c r="AD11" s="3">
        <v>0.14799999999999999</v>
      </c>
      <c r="AE11" s="3">
        <v>0.13300000000000001</v>
      </c>
      <c r="AF11" s="3">
        <v>0.14099999999999999</v>
      </c>
      <c r="AG11" s="3">
        <v>0.14199999999999999</v>
      </c>
      <c r="AH11" s="3">
        <v>0.129</v>
      </c>
      <c r="AI11" s="3">
        <v>0.14099999999999999</v>
      </c>
      <c r="AJ11" s="3">
        <v>0.13500000000000001</v>
      </c>
      <c r="AK11" s="3">
        <v>0.13100000000000001</v>
      </c>
      <c r="AL11" s="3">
        <v>0.115</v>
      </c>
    </row>
    <row r="12" spans="1:41" x14ac:dyDescent="0.2">
      <c r="A12" s="2">
        <v>4.8958333333333336E-3</v>
      </c>
      <c r="B12" s="3">
        <v>0.14699999999999999</v>
      </c>
      <c r="C12" s="3">
        <v>0.14299999999999999</v>
      </c>
      <c r="D12" s="3">
        <v>0.14699999999999999</v>
      </c>
      <c r="E12" s="3">
        <v>0.14699999999999999</v>
      </c>
      <c r="F12" s="3">
        <v>0.14000000000000001</v>
      </c>
      <c r="G12" s="3">
        <v>0.157</v>
      </c>
      <c r="H12" s="3">
        <v>0.153</v>
      </c>
      <c r="I12" s="3">
        <v>0.14099999999999999</v>
      </c>
      <c r="J12" s="3">
        <v>7.2999999999999995E-2</v>
      </c>
      <c r="K12" s="3">
        <v>0.14699999999999999</v>
      </c>
      <c r="L12" s="3">
        <v>0.19</v>
      </c>
      <c r="M12" s="3">
        <v>0.13600000000000001</v>
      </c>
      <c r="N12" s="3">
        <v>0.153</v>
      </c>
      <c r="O12" s="3">
        <v>0.14399999999999999</v>
      </c>
      <c r="P12" s="3">
        <v>0.152</v>
      </c>
      <c r="Q12" s="3">
        <v>0.16600000000000001</v>
      </c>
      <c r="R12" s="3">
        <v>0.13500000000000001</v>
      </c>
      <c r="S12" s="3">
        <v>0.114</v>
      </c>
      <c r="T12" s="3">
        <v>0.14299999999999999</v>
      </c>
      <c r="U12" s="3">
        <v>0.14099999999999999</v>
      </c>
      <c r="V12" s="3">
        <v>0.14499999999999999</v>
      </c>
      <c r="W12" s="3">
        <v>0.124</v>
      </c>
      <c r="X12" s="3">
        <v>0.14000000000000001</v>
      </c>
      <c r="Y12" s="3">
        <v>0.13500000000000001</v>
      </c>
      <c r="Z12" s="3">
        <v>0.13300000000000001</v>
      </c>
      <c r="AA12" s="3">
        <v>0.13900000000000001</v>
      </c>
      <c r="AB12" s="3">
        <v>0.114</v>
      </c>
      <c r="AC12" s="3">
        <v>0.151</v>
      </c>
      <c r="AD12" s="3">
        <v>0.151</v>
      </c>
      <c r="AE12" s="3">
        <v>0.13500000000000001</v>
      </c>
      <c r="AF12" s="3">
        <v>0.14199999999999999</v>
      </c>
      <c r="AG12" s="3">
        <v>0.14399999999999999</v>
      </c>
      <c r="AH12" s="3">
        <v>0.13</v>
      </c>
      <c r="AI12" s="3">
        <v>0.14199999999999999</v>
      </c>
      <c r="AJ12" s="3">
        <v>0.13700000000000001</v>
      </c>
      <c r="AK12" s="3">
        <v>0.13300000000000001</v>
      </c>
      <c r="AL12" s="3">
        <v>0.115</v>
      </c>
    </row>
    <row r="13" spans="1:41" x14ac:dyDescent="0.2">
      <c r="A13" s="2">
        <v>5.4398148148148149E-3</v>
      </c>
      <c r="B13" s="3">
        <v>0.14899999999999999</v>
      </c>
      <c r="C13" s="3">
        <v>0.14499999999999999</v>
      </c>
      <c r="D13" s="3">
        <v>0.14899999999999999</v>
      </c>
      <c r="E13" s="3">
        <v>0.15</v>
      </c>
      <c r="F13" s="3">
        <v>0.14199999999999999</v>
      </c>
      <c r="G13" s="3">
        <v>0.158</v>
      </c>
      <c r="H13" s="3">
        <v>0.155</v>
      </c>
      <c r="I13" s="3">
        <v>0.14299999999999999</v>
      </c>
      <c r="J13" s="3">
        <v>7.2999999999999995E-2</v>
      </c>
      <c r="K13" s="3">
        <v>0.14899999999999999</v>
      </c>
      <c r="L13" s="3">
        <v>0.192</v>
      </c>
      <c r="M13" s="3">
        <v>0.13700000000000001</v>
      </c>
      <c r="N13" s="3">
        <v>0.156</v>
      </c>
      <c r="O13" s="3">
        <v>0.14599999999999999</v>
      </c>
      <c r="P13" s="3">
        <v>0.154</v>
      </c>
      <c r="Q13" s="3">
        <v>0.17100000000000001</v>
      </c>
      <c r="R13" s="3">
        <v>0.13600000000000001</v>
      </c>
      <c r="S13" s="3">
        <v>0.114</v>
      </c>
      <c r="T13" s="3">
        <v>0.14499999999999999</v>
      </c>
      <c r="U13" s="3">
        <v>0.14299999999999999</v>
      </c>
      <c r="V13" s="3">
        <v>0.14699999999999999</v>
      </c>
      <c r="W13" s="3">
        <v>0.124</v>
      </c>
      <c r="X13" s="3">
        <v>0.14199999999999999</v>
      </c>
      <c r="Y13" s="3">
        <v>0.13700000000000001</v>
      </c>
      <c r="Z13" s="3">
        <v>0.13400000000000001</v>
      </c>
      <c r="AA13" s="3">
        <v>0.14000000000000001</v>
      </c>
      <c r="AB13" s="3">
        <v>0.114</v>
      </c>
      <c r="AC13" s="3">
        <v>0.153</v>
      </c>
      <c r="AD13" s="3">
        <v>0.153</v>
      </c>
      <c r="AE13" s="3">
        <v>0.13600000000000001</v>
      </c>
      <c r="AF13" s="3">
        <v>0.14299999999999999</v>
      </c>
      <c r="AG13" s="3">
        <v>0.14499999999999999</v>
      </c>
      <c r="AH13" s="3">
        <v>0.13</v>
      </c>
      <c r="AI13" s="3">
        <v>0.14399999999999999</v>
      </c>
      <c r="AJ13" s="3">
        <v>0.13800000000000001</v>
      </c>
      <c r="AK13" s="3">
        <v>0.13400000000000001</v>
      </c>
      <c r="AL13" s="3">
        <v>0.115</v>
      </c>
    </row>
    <row r="14" spans="1:41" x14ac:dyDescent="0.2">
      <c r="A14" s="2">
        <v>5.9837962962962961E-3</v>
      </c>
      <c r="B14" s="3">
        <v>0.151</v>
      </c>
      <c r="C14" s="3">
        <v>0.14599999999999999</v>
      </c>
      <c r="D14" s="3">
        <v>0.151</v>
      </c>
      <c r="E14" s="3">
        <v>0.154</v>
      </c>
      <c r="F14" s="3">
        <v>0.14399999999999999</v>
      </c>
      <c r="G14" s="3">
        <v>0.16300000000000001</v>
      </c>
      <c r="H14" s="3">
        <v>0.157</v>
      </c>
      <c r="I14" s="3">
        <v>0.14499999999999999</v>
      </c>
      <c r="J14" s="3">
        <v>7.2999999999999995E-2</v>
      </c>
      <c r="K14" s="3">
        <v>0.151</v>
      </c>
      <c r="L14" s="3">
        <v>0.19500000000000001</v>
      </c>
      <c r="M14" s="3">
        <v>0.13900000000000001</v>
      </c>
      <c r="N14" s="3">
        <v>0.158</v>
      </c>
      <c r="O14" s="3">
        <v>0.14799999999999999</v>
      </c>
      <c r="P14" s="3">
        <v>0.156</v>
      </c>
      <c r="Q14" s="3">
        <v>0.16200000000000001</v>
      </c>
      <c r="R14" s="3">
        <v>0.13800000000000001</v>
      </c>
      <c r="S14" s="3">
        <v>0.114</v>
      </c>
      <c r="T14" s="3">
        <v>0.14699999999999999</v>
      </c>
      <c r="U14" s="3">
        <v>0.14499999999999999</v>
      </c>
      <c r="V14" s="3">
        <v>0.14899999999999999</v>
      </c>
      <c r="W14" s="3">
        <v>0.124</v>
      </c>
      <c r="X14" s="3">
        <v>0.14399999999999999</v>
      </c>
      <c r="Y14" s="3">
        <v>0.13800000000000001</v>
      </c>
      <c r="Z14" s="3">
        <v>0.13600000000000001</v>
      </c>
      <c r="AA14" s="3">
        <v>0.14099999999999999</v>
      </c>
      <c r="AB14" s="3">
        <v>0.114</v>
      </c>
      <c r="AC14" s="3">
        <v>0.155</v>
      </c>
      <c r="AD14" s="3">
        <v>0.155</v>
      </c>
      <c r="AE14" s="3">
        <v>0.13800000000000001</v>
      </c>
      <c r="AF14" s="3">
        <v>0.14399999999999999</v>
      </c>
      <c r="AG14" s="3">
        <v>0.14699999999999999</v>
      </c>
      <c r="AH14" s="3">
        <v>0.13200000000000001</v>
      </c>
      <c r="AI14" s="3">
        <v>0.14599999999999999</v>
      </c>
      <c r="AJ14" s="3">
        <v>0.14000000000000001</v>
      </c>
      <c r="AK14" s="3">
        <v>0.13500000000000001</v>
      </c>
      <c r="AL14" s="3">
        <v>0.115</v>
      </c>
    </row>
    <row r="15" spans="1:41" x14ac:dyDescent="0.2">
      <c r="A15" s="2">
        <v>6.5277777777777782E-3</v>
      </c>
      <c r="B15" s="3">
        <v>0.153</v>
      </c>
      <c r="C15" s="3">
        <v>0.14799999999999999</v>
      </c>
      <c r="D15" s="3">
        <v>0.153</v>
      </c>
      <c r="E15" s="3">
        <v>0.153</v>
      </c>
      <c r="F15" s="3">
        <v>0.14599999999999999</v>
      </c>
      <c r="G15" s="3">
        <v>0.16500000000000001</v>
      </c>
      <c r="H15" s="3">
        <v>0.159</v>
      </c>
      <c r="I15" s="3">
        <v>0.14699999999999999</v>
      </c>
      <c r="J15" s="3">
        <v>7.1999999999999995E-2</v>
      </c>
      <c r="K15" s="3">
        <v>0.153</v>
      </c>
      <c r="L15" s="3">
        <v>0.19800000000000001</v>
      </c>
      <c r="M15" s="3">
        <v>0.14000000000000001</v>
      </c>
      <c r="N15" s="3">
        <v>0.16</v>
      </c>
      <c r="O15" s="3">
        <v>0.14899999999999999</v>
      </c>
      <c r="P15" s="3">
        <v>0.158</v>
      </c>
      <c r="Q15" s="3">
        <v>0.151</v>
      </c>
      <c r="R15" s="3">
        <v>0.14000000000000001</v>
      </c>
      <c r="S15" s="3">
        <v>0.114</v>
      </c>
      <c r="T15" s="3">
        <v>0.14799999999999999</v>
      </c>
      <c r="U15" s="3">
        <v>0.14699999999999999</v>
      </c>
      <c r="V15" s="3">
        <v>0.151</v>
      </c>
      <c r="W15" s="3">
        <v>0.124</v>
      </c>
      <c r="X15" s="3">
        <v>0.14699999999999999</v>
      </c>
      <c r="Y15" s="3">
        <v>0.13900000000000001</v>
      </c>
      <c r="Z15" s="3">
        <v>0.13800000000000001</v>
      </c>
      <c r="AA15" s="3">
        <v>0.14299999999999999</v>
      </c>
      <c r="AB15" s="3">
        <v>0.114</v>
      </c>
      <c r="AC15" s="3">
        <v>0.158</v>
      </c>
      <c r="AD15" s="3">
        <v>0.158</v>
      </c>
      <c r="AE15" s="3">
        <v>0.14000000000000001</v>
      </c>
      <c r="AF15" s="3">
        <v>0.14499999999999999</v>
      </c>
      <c r="AG15" s="3">
        <v>0.14899999999999999</v>
      </c>
      <c r="AH15" s="3">
        <v>0.13300000000000001</v>
      </c>
      <c r="AI15" s="3">
        <v>0.14799999999999999</v>
      </c>
      <c r="AJ15" s="3">
        <v>0.14199999999999999</v>
      </c>
      <c r="AK15" s="3">
        <v>0.13700000000000001</v>
      </c>
      <c r="AL15" s="3">
        <v>0.115</v>
      </c>
    </row>
    <row r="16" spans="1:41" x14ac:dyDescent="0.2">
      <c r="A16" s="4"/>
      <c r="B16" s="5">
        <f t="shared" ref="B16:AL16" si="0">(SLOPE(B6:B15,$A$6:$A$15))-0.103056092843327</f>
        <v>3.1278916827852958</v>
      </c>
      <c r="C16" s="5">
        <f t="shared" si="0"/>
        <v>2.9719148936170163</v>
      </c>
      <c r="D16" s="5">
        <f t="shared" si="0"/>
        <v>3.5735396518375206</v>
      </c>
      <c r="E16" s="5">
        <f t="shared" si="0"/>
        <v>3.1947388781431321</v>
      </c>
      <c r="F16" s="5">
        <f t="shared" si="0"/>
        <v>3.361856866537714</v>
      </c>
      <c r="G16" s="5">
        <f t="shared" si="0"/>
        <v>3.8297872340425565</v>
      </c>
      <c r="H16" s="5">
        <f t="shared" si="0"/>
        <v>3.6738104448742779</v>
      </c>
      <c r="I16" s="5">
        <f t="shared" si="0"/>
        <v>3.0387620889748503</v>
      </c>
      <c r="J16" s="5">
        <f t="shared" si="0"/>
        <v>-0.20332688588007755</v>
      </c>
      <c r="K16" s="5">
        <f t="shared" si="0"/>
        <v>3.3952804642166305</v>
      </c>
      <c r="L16" s="5">
        <f t="shared" si="0"/>
        <v>3.9523404255319181</v>
      </c>
      <c r="M16" s="5">
        <f t="shared" si="0"/>
        <v>2.414854932301743</v>
      </c>
      <c r="N16" s="5">
        <f t="shared" si="0"/>
        <v>3.97462282398453</v>
      </c>
      <c r="O16" s="5">
        <f t="shared" si="0"/>
        <v>3.1947388781431281</v>
      </c>
      <c r="P16" s="5">
        <f t="shared" si="0"/>
        <v>3.306150870406193</v>
      </c>
      <c r="Q16" s="5">
        <f t="shared" si="0"/>
        <v>3.7963636363636399</v>
      </c>
      <c r="R16" s="5">
        <f t="shared" si="0"/>
        <v>2.5151257253384935</v>
      </c>
      <c r="S16" s="5">
        <f t="shared" si="0"/>
        <v>-0.10305609284332698</v>
      </c>
      <c r="T16" s="5">
        <f t="shared" si="0"/>
        <v>2.9273500967117938</v>
      </c>
      <c r="U16" s="5">
        <f t="shared" si="0"/>
        <v>2.8605029013539602</v>
      </c>
      <c r="V16" s="5">
        <f t="shared" si="0"/>
        <v>3.2058800773694345</v>
      </c>
      <c r="W16" s="5">
        <f t="shared" si="0"/>
        <v>0.13090909090909103</v>
      </c>
      <c r="X16" s="5">
        <f t="shared" si="0"/>
        <v>3.1278916827852963</v>
      </c>
      <c r="Y16" s="5">
        <f t="shared" si="0"/>
        <v>2.2365957446808533</v>
      </c>
      <c r="Z16" s="5">
        <f t="shared" si="0"/>
        <v>2.2811605415860754</v>
      </c>
      <c r="AA16" s="5">
        <f t="shared" si="0"/>
        <v>2.3702901353965156</v>
      </c>
      <c r="AB16" s="5">
        <f t="shared" si="0"/>
        <v>0.13090909090909103</v>
      </c>
      <c r="AC16" s="5">
        <f t="shared" si="0"/>
        <v>3.9411992263056077</v>
      </c>
      <c r="AD16" s="5">
        <f t="shared" si="0"/>
        <v>3.5289748549323026</v>
      </c>
      <c r="AE16" s="5">
        <f t="shared" si="0"/>
        <v>2.5485493230174101</v>
      </c>
      <c r="AF16" s="5">
        <f t="shared" si="0"/>
        <v>1.8689361702127596</v>
      </c>
      <c r="AG16" s="5">
        <f t="shared" si="0"/>
        <v>3.1613152804642115</v>
      </c>
      <c r="AH16" s="5">
        <f t="shared" si="0"/>
        <v>1.679535783365572</v>
      </c>
      <c r="AI16" s="5">
        <f t="shared" si="0"/>
        <v>2.7602321083172097</v>
      </c>
      <c r="AJ16" s="5">
        <f t="shared" si="0"/>
        <v>2.7825145067698251</v>
      </c>
      <c r="AK16" s="5">
        <f t="shared" si="0"/>
        <v>2.1029013539651853</v>
      </c>
      <c r="AL16" s="5">
        <f t="shared" si="0"/>
        <v>0.17547388781431353</v>
      </c>
    </row>
    <row r="17" spans="1:41" x14ac:dyDescent="0.2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41" x14ac:dyDescent="0.2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41" x14ac:dyDescent="0.2">
      <c r="A19" t="s">
        <v>40</v>
      </c>
    </row>
    <row r="20" spans="1:4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39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  <c r="U20" s="1" t="s">
        <v>19</v>
      </c>
      <c r="V20" s="1" t="s">
        <v>20</v>
      </c>
      <c r="W20" s="1" t="s">
        <v>21</v>
      </c>
      <c r="X20" s="1" t="s">
        <v>22</v>
      </c>
      <c r="Y20" s="1" t="s">
        <v>23</v>
      </c>
      <c r="Z20" s="1" t="s">
        <v>24</v>
      </c>
      <c r="AA20" s="1" t="s">
        <v>25</v>
      </c>
      <c r="AB20" s="1" t="s">
        <v>26</v>
      </c>
      <c r="AC20" s="1" t="s">
        <v>27</v>
      </c>
      <c r="AD20" s="1" t="s">
        <v>28</v>
      </c>
      <c r="AE20" s="1" t="s">
        <v>29</v>
      </c>
      <c r="AF20" s="1" t="s">
        <v>30</v>
      </c>
      <c r="AG20" s="1" t="s">
        <v>31</v>
      </c>
      <c r="AH20" s="1" t="s">
        <v>32</v>
      </c>
      <c r="AI20" s="1" t="s">
        <v>33</v>
      </c>
      <c r="AJ20" s="1" t="s">
        <v>34</v>
      </c>
      <c r="AK20" s="1" t="s">
        <v>35</v>
      </c>
      <c r="AL20" s="1" t="s">
        <v>36</v>
      </c>
      <c r="AM20" s="1" t="s">
        <v>37</v>
      </c>
    </row>
    <row r="21" spans="1:41" x14ac:dyDescent="0.2">
      <c r="A21" s="2">
        <v>0</v>
      </c>
      <c r="B21" s="3">
        <v>0.13300000000000001</v>
      </c>
      <c r="C21" s="3">
        <v>0.13400000000000001</v>
      </c>
      <c r="D21" s="3">
        <v>0.129</v>
      </c>
      <c r="E21" s="3">
        <v>0.13100000000000001</v>
      </c>
      <c r="F21" s="3">
        <v>0.126</v>
      </c>
      <c r="G21" s="3">
        <v>0.14299999999999999</v>
      </c>
      <c r="H21" s="3">
        <v>0.129</v>
      </c>
      <c r="I21" s="3">
        <v>0.03</v>
      </c>
      <c r="J21" s="3">
        <v>0.112</v>
      </c>
      <c r="K21" s="3">
        <v>0.124</v>
      </c>
      <c r="L21" s="3">
        <v>0.128</v>
      </c>
      <c r="M21" s="3">
        <v>0.13</v>
      </c>
      <c r="N21" s="3">
        <v>0.126</v>
      </c>
      <c r="O21" s="3">
        <v>0.13600000000000001</v>
      </c>
      <c r="P21" s="3">
        <v>0.128</v>
      </c>
      <c r="Q21" s="3">
        <v>0.14000000000000001</v>
      </c>
      <c r="R21" s="3">
        <v>0.13</v>
      </c>
      <c r="S21" s="3">
        <v>0.126</v>
      </c>
      <c r="T21" s="3">
        <v>0.11</v>
      </c>
      <c r="U21" s="3">
        <v>0.124</v>
      </c>
      <c r="V21" s="3">
        <v>0.128</v>
      </c>
      <c r="W21" s="3">
        <v>0.129</v>
      </c>
      <c r="X21" s="3">
        <v>0.13100000000000001</v>
      </c>
      <c r="Y21" s="3">
        <v>0.127</v>
      </c>
      <c r="Z21" s="3">
        <v>0.127</v>
      </c>
      <c r="AA21" s="3">
        <v>0.124</v>
      </c>
      <c r="AB21" s="3">
        <v>0.125</v>
      </c>
      <c r="AC21" s="3">
        <v>0.109</v>
      </c>
      <c r="AD21" s="3">
        <v>4.9000000000000002E-2</v>
      </c>
      <c r="AE21" s="3">
        <v>0.129</v>
      </c>
      <c r="AF21" s="3">
        <v>0.127</v>
      </c>
      <c r="AG21" s="3">
        <v>0.13</v>
      </c>
      <c r="AH21" s="3">
        <v>0.13300000000000001</v>
      </c>
      <c r="AI21" s="3">
        <v>0.125</v>
      </c>
      <c r="AJ21" s="3">
        <v>0.13100000000000001</v>
      </c>
      <c r="AK21" s="3">
        <v>0.126</v>
      </c>
      <c r="AL21" s="3">
        <v>0.124</v>
      </c>
      <c r="AM21" s="3">
        <v>0.11</v>
      </c>
      <c r="AO21" t="s">
        <v>57</v>
      </c>
    </row>
    <row r="22" spans="1:41" x14ac:dyDescent="0.2">
      <c r="A22" s="2">
        <v>5.4398148148148144E-4</v>
      </c>
      <c r="B22" s="3">
        <v>0.13400000000000001</v>
      </c>
      <c r="C22" s="3">
        <v>0.13600000000000001</v>
      </c>
      <c r="D22" s="3">
        <v>0.13100000000000001</v>
      </c>
      <c r="E22" s="3">
        <v>0.13200000000000001</v>
      </c>
      <c r="F22" s="3">
        <v>0.126</v>
      </c>
      <c r="G22" s="3">
        <v>0.14399999999999999</v>
      </c>
      <c r="H22" s="3">
        <v>0.13200000000000001</v>
      </c>
      <c r="I22" s="3">
        <v>0.03</v>
      </c>
      <c r="J22" s="3">
        <v>0.112</v>
      </c>
      <c r="K22" s="3">
        <v>0.126</v>
      </c>
      <c r="L22" s="3">
        <v>0.13</v>
      </c>
      <c r="M22" s="3">
        <v>0.13100000000000001</v>
      </c>
      <c r="N22" s="3">
        <v>0.127</v>
      </c>
      <c r="O22" s="3">
        <v>0.13800000000000001</v>
      </c>
      <c r="P22" s="3">
        <v>0.129</v>
      </c>
      <c r="Q22" s="3">
        <v>0.13800000000000001</v>
      </c>
      <c r="R22" s="3">
        <v>0.13100000000000001</v>
      </c>
      <c r="S22" s="3">
        <v>0.127</v>
      </c>
      <c r="T22" s="3">
        <v>0.11</v>
      </c>
      <c r="U22" s="3">
        <v>0.125</v>
      </c>
      <c r="V22" s="3">
        <v>0.129</v>
      </c>
      <c r="W22" s="3">
        <v>0.13</v>
      </c>
      <c r="X22" s="3">
        <v>0.13200000000000001</v>
      </c>
      <c r="Y22" s="3">
        <v>0.127</v>
      </c>
      <c r="Z22" s="3">
        <v>0.128</v>
      </c>
      <c r="AA22" s="3">
        <v>0.125</v>
      </c>
      <c r="AB22" s="3">
        <v>0.126</v>
      </c>
      <c r="AC22" s="3">
        <v>0.109</v>
      </c>
      <c r="AD22" s="3">
        <v>4.9000000000000002E-2</v>
      </c>
      <c r="AE22" s="3">
        <v>0.13</v>
      </c>
      <c r="AF22" s="3">
        <v>0.128</v>
      </c>
      <c r="AG22" s="3">
        <v>0.13</v>
      </c>
      <c r="AH22" s="3">
        <v>0.13400000000000001</v>
      </c>
      <c r="AI22" s="3">
        <v>0.125</v>
      </c>
      <c r="AJ22" s="3">
        <v>0.13200000000000001</v>
      </c>
      <c r="AK22" s="3">
        <v>0.127</v>
      </c>
      <c r="AL22" s="3">
        <v>0.125</v>
      </c>
      <c r="AM22" s="3">
        <v>0.11</v>
      </c>
      <c r="AO22">
        <f>AVERAGE(T34,J34,AC34,AM34)</f>
        <v>-6.5653495440729542E-2</v>
      </c>
    </row>
    <row r="23" spans="1:41" x14ac:dyDescent="0.2">
      <c r="A23" s="2">
        <v>1.0879629629629629E-3</v>
      </c>
      <c r="B23" s="3">
        <v>0.13500000000000001</v>
      </c>
      <c r="C23" s="3">
        <v>0.13600000000000001</v>
      </c>
      <c r="D23" s="3">
        <v>0.13200000000000001</v>
      </c>
      <c r="E23" s="3">
        <v>0.13200000000000001</v>
      </c>
      <c r="F23" s="3">
        <v>0.127</v>
      </c>
      <c r="G23" s="3">
        <v>0.14499999999999999</v>
      </c>
      <c r="H23" s="3">
        <v>0.13200000000000001</v>
      </c>
      <c r="I23" s="3">
        <v>3.1E-2</v>
      </c>
      <c r="J23" s="3">
        <v>0.113</v>
      </c>
      <c r="K23" s="3">
        <v>0.127</v>
      </c>
      <c r="L23" s="3">
        <v>0.13100000000000001</v>
      </c>
      <c r="M23" s="3">
        <v>0.13300000000000001</v>
      </c>
      <c r="N23" s="3">
        <v>0.128</v>
      </c>
      <c r="O23" s="3">
        <v>0.13900000000000001</v>
      </c>
      <c r="P23" s="3">
        <v>0.13</v>
      </c>
      <c r="Q23" s="3">
        <v>0.13900000000000001</v>
      </c>
      <c r="R23" s="3">
        <v>0.13200000000000001</v>
      </c>
      <c r="S23" s="3">
        <v>0.127</v>
      </c>
      <c r="T23" s="3">
        <v>0.11</v>
      </c>
      <c r="U23" s="3">
        <v>0.126</v>
      </c>
      <c r="V23" s="3">
        <v>0.129</v>
      </c>
      <c r="W23" s="3">
        <v>0.13100000000000001</v>
      </c>
      <c r="X23" s="3">
        <v>0.13300000000000001</v>
      </c>
      <c r="Y23" s="3">
        <v>0.128</v>
      </c>
      <c r="Z23" s="3">
        <v>0.128</v>
      </c>
      <c r="AA23" s="3">
        <v>0.126</v>
      </c>
      <c r="AB23" s="3">
        <v>0.127</v>
      </c>
      <c r="AC23" s="3">
        <v>0.11</v>
      </c>
      <c r="AD23" s="3">
        <v>4.9000000000000002E-2</v>
      </c>
      <c r="AE23" s="3">
        <v>0.13100000000000001</v>
      </c>
      <c r="AF23" s="3">
        <v>0.129</v>
      </c>
      <c r="AG23" s="3">
        <v>0.13100000000000001</v>
      </c>
      <c r="AH23" s="3">
        <v>0.13500000000000001</v>
      </c>
      <c r="AI23" s="3">
        <v>0.126</v>
      </c>
      <c r="AJ23" s="3">
        <v>0.13300000000000001</v>
      </c>
      <c r="AK23" s="3">
        <v>0.128</v>
      </c>
      <c r="AL23" s="3">
        <v>0.126</v>
      </c>
      <c r="AM23" s="3">
        <v>0.11</v>
      </c>
    </row>
    <row r="24" spans="1:41" x14ac:dyDescent="0.2">
      <c r="A24" s="2">
        <v>1.6319444444444445E-3</v>
      </c>
      <c r="B24" s="3">
        <v>0.13600000000000001</v>
      </c>
      <c r="C24" s="3">
        <v>0.13800000000000001</v>
      </c>
      <c r="D24" s="3">
        <v>0.13300000000000001</v>
      </c>
      <c r="E24" s="3">
        <v>0.13400000000000001</v>
      </c>
      <c r="F24" s="3">
        <v>0.128</v>
      </c>
      <c r="G24" s="3">
        <v>0.14599999999999999</v>
      </c>
      <c r="H24" s="3">
        <v>0.13300000000000001</v>
      </c>
      <c r="I24" s="3">
        <v>3.1E-2</v>
      </c>
      <c r="J24" s="3">
        <v>0.112</v>
      </c>
      <c r="K24" s="3">
        <v>0.128</v>
      </c>
      <c r="L24" s="3">
        <v>0.13300000000000001</v>
      </c>
      <c r="M24" s="3">
        <v>0.13400000000000001</v>
      </c>
      <c r="N24" s="3">
        <v>0.128</v>
      </c>
      <c r="O24" s="3">
        <v>0.14000000000000001</v>
      </c>
      <c r="P24" s="3">
        <v>0.13200000000000001</v>
      </c>
      <c r="Q24" s="3">
        <v>0.13900000000000001</v>
      </c>
      <c r="R24" s="3">
        <v>0.13300000000000001</v>
      </c>
      <c r="S24" s="3">
        <v>0.128</v>
      </c>
      <c r="T24" s="3">
        <v>0.11</v>
      </c>
      <c r="U24" s="3">
        <v>0.127</v>
      </c>
      <c r="V24" s="3">
        <v>0.13</v>
      </c>
      <c r="W24" s="3">
        <v>0.13100000000000001</v>
      </c>
      <c r="X24" s="3">
        <v>0.13400000000000001</v>
      </c>
      <c r="Y24" s="3">
        <v>0.13</v>
      </c>
      <c r="Z24" s="3">
        <v>0.129</v>
      </c>
      <c r="AA24" s="3">
        <v>0.127</v>
      </c>
      <c r="AB24" s="3">
        <v>0.128</v>
      </c>
      <c r="AC24" s="3">
        <v>0.109</v>
      </c>
      <c r="AD24" s="3">
        <v>4.9000000000000002E-2</v>
      </c>
      <c r="AE24" s="3">
        <v>0.13300000000000001</v>
      </c>
      <c r="AF24" s="3">
        <v>0.13</v>
      </c>
      <c r="AG24" s="3">
        <v>0.13100000000000001</v>
      </c>
      <c r="AH24" s="3">
        <v>0.13600000000000001</v>
      </c>
      <c r="AI24" s="3">
        <v>0.127</v>
      </c>
      <c r="AJ24" s="3">
        <v>0.13400000000000001</v>
      </c>
      <c r="AK24" s="3">
        <v>0.129</v>
      </c>
      <c r="AL24" s="3">
        <v>0.126</v>
      </c>
      <c r="AM24" s="3">
        <v>0.109</v>
      </c>
    </row>
    <row r="25" spans="1:41" x14ac:dyDescent="0.2">
      <c r="A25" s="2">
        <v>2.1759259259259258E-3</v>
      </c>
      <c r="B25" s="3">
        <v>0.13800000000000001</v>
      </c>
      <c r="C25" s="3">
        <v>0.13900000000000001</v>
      </c>
      <c r="D25" s="3">
        <v>0.13500000000000001</v>
      </c>
      <c r="E25" s="3">
        <v>0.13600000000000001</v>
      </c>
      <c r="F25" s="3">
        <v>0.129</v>
      </c>
      <c r="G25" s="3">
        <v>0.14699999999999999</v>
      </c>
      <c r="H25" s="3">
        <v>0.13600000000000001</v>
      </c>
      <c r="I25" s="3">
        <v>3.2000000000000001E-2</v>
      </c>
      <c r="J25" s="3">
        <v>0.113</v>
      </c>
      <c r="K25" s="3">
        <v>0.129</v>
      </c>
      <c r="L25" s="3">
        <v>0.13400000000000001</v>
      </c>
      <c r="M25" s="3">
        <v>0.13500000000000001</v>
      </c>
      <c r="N25" s="3">
        <v>0.129</v>
      </c>
      <c r="O25" s="3">
        <v>0.14199999999999999</v>
      </c>
      <c r="P25" s="3">
        <v>0.13300000000000001</v>
      </c>
      <c r="Q25" s="3">
        <v>0.14000000000000001</v>
      </c>
      <c r="R25" s="3">
        <v>0.13400000000000001</v>
      </c>
      <c r="S25" s="3">
        <v>0.129</v>
      </c>
      <c r="T25" s="3">
        <v>0.11</v>
      </c>
      <c r="U25" s="3">
        <v>0.128</v>
      </c>
      <c r="V25" s="3">
        <v>0.13100000000000001</v>
      </c>
      <c r="W25" s="3">
        <v>0.13200000000000001</v>
      </c>
      <c r="X25" s="3">
        <v>0.13500000000000001</v>
      </c>
      <c r="Y25" s="3">
        <v>0.13100000000000001</v>
      </c>
      <c r="Z25" s="3">
        <v>0.13100000000000001</v>
      </c>
      <c r="AA25" s="3">
        <v>0.128</v>
      </c>
      <c r="AB25" s="3">
        <v>0.129</v>
      </c>
      <c r="AC25" s="3">
        <v>0.11</v>
      </c>
      <c r="AD25" s="3">
        <v>4.9000000000000002E-2</v>
      </c>
      <c r="AE25" s="3">
        <v>0.13400000000000001</v>
      </c>
      <c r="AF25" s="3">
        <v>0.13100000000000001</v>
      </c>
      <c r="AG25" s="3">
        <v>0.13200000000000001</v>
      </c>
      <c r="AH25" s="3">
        <v>0.13700000000000001</v>
      </c>
      <c r="AI25" s="3">
        <v>0.127</v>
      </c>
      <c r="AJ25" s="3">
        <v>0.13500000000000001</v>
      </c>
      <c r="AK25" s="3">
        <v>0.13</v>
      </c>
      <c r="AL25" s="3">
        <v>0.127</v>
      </c>
      <c r="AM25" s="3">
        <v>0.109</v>
      </c>
    </row>
    <row r="26" spans="1:41" x14ac:dyDescent="0.2">
      <c r="A26" s="2">
        <v>2.7199074074074074E-3</v>
      </c>
      <c r="B26" s="3">
        <v>0.13900000000000001</v>
      </c>
      <c r="C26" s="3">
        <v>0.14099999999999999</v>
      </c>
      <c r="D26" s="3">
        <v>0.13700000000000001</v>
      </c>
      <c r="E26" s="3">
        <v>0.13600000000000001</v>
      </c>
      <c r="F26" s="3">
        <v>0.13</v>
      </c>
      <c r="G26" s="3">
        <v>0.14799999999999999</v>
      </c>
      <c r="H26" s="3">
        <v>0.13800000000000001</v>
      </c>
      <c r="I26" s="3">
        <v>3.3000000000000002E-2</v>
      </c>
      <c r="J26" s="3">
        <v>0.113</v>
      </c>
      <c r="K26" s="3">
        <v>0.13100000000000001</v>
      </c>
      <c r="L26" s="3">
        <v>0.13600000000000001</v>
      </c>
      <c r="M26" s="3">
        <v>0.13600000000000001</v>
      </c>
      <c r="N26" s="3">
        <v>0.13100000000000001</v>
      </c>
      <c r="O26" s="3">
        <v>0.14299999999999999</v>
      </c>
      <c r="P26" s="3">
        <v>0.13500000000000001</v>
      </c>
      <c r="Q26" s="3">
        <v>0.14099999999999999</v>
      </c>
      <c r="R26" s="3">
        <v>0.13500000000000001</v>
      </c>
      <c r="S26" s="3">
        <v>0.13</v>
      </c>
      <c r="T26" s="3">
        <v>0.11</v>
      </c>
      <c r="U26" s="3">
        <v>0.129</v>
      </c>
      <c r="V26" s="3">
        <v>0.13300000000000001</v>
      </c>
      <c r="W26" s="3">
        <v>0.13400000000000001</v>
      </c>
      <c r="X26" s="3">
        <v>0.13600000000000001</v>
      </c>
      <c r="Y26" s="3">
        <v>0.13300000000000001</v>
      </c>
      <c r="Z26" s="3">
        <v>0.13200000000000001</v>
      </c>
      <c r="AA26" s="3">
        <v>0.129</v>
      </c>
      <c r="AB26" s="3">
        <v>0.13</v>
      </c>
      <c r="AC26" s="3">
        <v>0.109</v>
      </c>
      <c r="AD26" s="3">
        <v>4.9000000000000002E-2</v>
      </c>
      <c r="AE26" s="3">
        <v>0.13500000000000001</v>
      </c>
      <c r="AF26" s="3">
        <v>0.13200000000000001</v>
      </c>
      <c r="AG26" s="3">
        <v>0.13300000000000001</v>
      </c>
      <c r="AH26" s="3">
        <v>0.13900000000000001</v>
      </c>
      <c r="AI26" s="3">
        <v>0.128</v>
      </c>
      <c r="AJ26" s="3">
        <v>0.13600000000000001</v>
      </c>
      <c r="AK26" s="3">
        <v>0.13100000000000001</v>
      </c>
      <c r="AL26" s="3">
        <v>0.128</v>
      </c>
      <c r="AM26" s="3">
        <v>0.109</v>
      </c>
    </row>
    <row r="27" spans="1:41" x14ac:dyDescent="0.2">
      <c r="A27" s="2">
        <v>3.2638888888888891E-3</v>
      </c>
      <c r="B27" s="3">
        <v>0.14099999999999999</v>
      </c>
      <c r="C27" s="3">
        <v>0.14199999999999999</v>
      </c>
      <c r="D27" s="3">
        <v>0.13800000000000001</v>
      </c>
      <c r="E27" s="3">
        <v>0.13800000000000001</v>
      </c>
      <c r="F27" s="3">
        <v>0.13200000000000001</v>
      </c>
      <c r="G27" s="3">
        <v>0.15</v>
      </c>
      <c r="H27" s="3">
        <v>0.14000000000000001</v>
      </c>
      <c r="I27" s="3">
        <v>3.4000000000000002E-2</v>
      </c>
      <c r="J27" s="3">
        <v>0.112</v>
      </c>
      <c r="K27" s="3">
        <v>0.13200000000000001</v>
      </c>
      <c r="L27" s="3">
        <v>0.13700000000000001</v>
      </c>
      <c r="M27" s="3">
        <v>0.13800000000000001</v>
      </c>
      <c r="N27" s="3">
        <v>0.13200000000000001</v>
      </c>
      <c r="O27" s="3">
        <v>0.14599999999999999</v>
      </c>
      <c r="P27" s="3">
        <v>0.13600000000000001</v>
      </c>
      <c r="Q27" s="3">
        <v>0.14399999999999999</v>
      </c>
      <c r="R27" s="3">
        <v>0.13700000000000001</v>
      </c>
      <c r="S27" s="3">
        <v>0.13100000000000001</v>
      </c>
      <c r="T27" s="3">
        <v>0.11</v>
      </c>
      <c r="U27" s="3">
        <v>0.13</v>
      </c>
      <c r="V27" s="3">
        <v>0.13400000000000001</v>
      </c>
      <c r="W27" s="3">
        <v>0.13500000000000001</v>
      </c>
      <c r="X27" s="3">
        <v>0.13800000000000001</v>
      </c>
      <c r="Y27" s="3">
        <v>0.13400000000000001</v>
      </c>
      <c r="Z27" s="3">
        <v>0.13300000000000001</v>
      </c>
      <c r="AA27" s="3">
        <v>0.13100000000000001</v>
      </c>
      <c r="AB27" s="3">
        <v>0.13100000000000001</v>
      </c>
      <c r="AC27" s="3">
        <v>0.11</v>
      </c>
      <c r="AD27" s="3">
        <v>4.9000000000000002E-2</v>
      </c>
      <c r="AE27" s="3">
        <v>0.13700000000000001</v>
      </c>
      <c r="AF27" s="3">
        <v>0.13300000000000001</v>
      </c>
      <c r="AG27" s="3">
        <v>0.13300000000000001</v>
      </c>
      <c r="AH27" s="3">
        <v>0.14099999999999999</v>
      </c>
      <c r="AI27" s="3">
        <v>0.129</v>
      </c>
      <c r="AJ27" s="3">
        <v>0.13800000000000001</v>
      </c>
      <c r="AK27" s="3">
        <v>0.13200000000000001</v>
      </c>
      <c r="AL27" s="3">
        <v>0.129</v>
      </c>
      <c r="AM27" s="3">
        <v>0.109</v>
      </c>
    </row>
    <row r="28" spans="1:41" x14ac:dyDescent="0.2">
      <c r="A28" s="2">
        <v>3.8078703703703703E-3</v>
      </c>
      <c r="B28" s="3">
        <v>0.14099999999999999</v>
      </c>
      <c r="C28" s="3">
        <v>0.14399999999999999</v>
      </c>
      <c r="D28" s="3">
        <v>0.14000000000000001</v>
      </c>
      <c r="E28" s="3">
        <v>0.13900000000000001</v>
      </c>
      <c r="F28" s="3">
        <v>0.13300000000000001</v>
      </c>
      <c r="G28" s="3">
        <v>0.151</v>
      </c>
      <c r="H28" s="3">
        <v>0.14099999999999999</v>
      </c>
      <c r="I28" s="3">
        <v>3.5000000000000003E-2</v>
      </c>
      <c r="J28" s="3">
        <v>0.112</v>
      </c>
      <c r="K28" s="3">
        <v>0.13400000000000001</v>
      </c>
      <c r="L28" s="3">
        <v>0.13900000000000001</v>
      </c>
      <c r="M28" s="3">
        <v>0.14000000000000001</v>
      </c>
      <c r="N28" s="3">
        <v>0.13300000000000001</v>
      </c>
      <c r="O28" s="3">
        <v>0.14699999999999999</v>
      </c>
      <c r="P28" s="3">
        <v>0.13700000000000001</v>
      </c>
      <c r="Q28" s="3">
        <v>0.14499999999999999</v>
      </c>
      <c r="R28" s="3">
        <v>0.13900000000000001</v>
      </c>
      <c r="S28" s="3">
        <v>0.13300000000000001</v>
      </c>
      <c r="T28" s="3">
        <v>0.11</v>
      </c>
      <c r="U28" s="3">
        <v>0.13100000000000001</v>
      </c>
      <c r="V28" s="3">
        <v>0.13500000000000001</v>
      </c>
      <c r="W28" s="3">
        <v>0.13600000000000001</v>
      </c>
      <c r="X28" s="3">
        <v>0.14000000000000001</v>
      </c>
      <c r="Y28" s="3">
        <v>0.13500000000000001</v>
      </c>
      <c r="Z28" s="3">
        <v>0.13400000000000001</v>
      </c>
      <c r="AA28" s="3">
        <v>0.13200000000000001</v>
      </c>
      <c r="AB28" s="3">
        <v>0.13200000000000001</v>
      </c>
      <c r="AC28" s="3">
        <v>0.109</v>
      </c>
      <c r="AD28" s="3">
        <v>4.9000000000000002E-2</v>
      </c>
      <c r="AE28" s="3">
        <v>0.13900000000000001</v>
      </c>
      <c r="AF28" s="3">
        <v>0.13500000000000001</v>
      </c>
      <c r="AG28" s="3">
        <v>0.13400000000000001</v>
      </c>
      <c r="AH28" s="3">
        <v>0.14299999999999999</v>
      </c>
      <c r="AI28" s="3">
        <v>0.13</v>
      </c>
      <c r="AJ28" s="3">
        <v>0.13900000000000001</v>
      </c>
      <c r="AK28" s="3">
        <v>0.13300000000000001</v>
      </c>
      <c r="AL28" s="3">
        <v>0.13</v>
      </c>
      <c r="AM28" s="3">
        <v>0.109</v>
      </c>
    </row>
    <row r="29" spans="1:41" x14ac:dyDescent="0.2">
      <c r="A29" s="2">
        <v>4.3518518518518515E-3</v>
      </c>
      <c r="B29" s="3">
        <v>0.14299999999999999</v>
      </c>
      <c r="C29" s="3">
        <v>0.14599999999999999</v>
      </c>
      <c r="D29" s="3">
        <v>0.14099999999999999</v>
      </c>
      <c r="E29" s="3">
        <v>0.14199999999999999</v>
      </c>
      <c r="F29" s="3">
        <v>0.13400000000000001</v>
      </c>
      <c r="G29" s="3">
        <v>0.152</v>
      </c>
      <c r="H29" s="3">
        <v>0.14299999999999999</v>
      </c>
      <c r="I29" s="3">
        <v>3.5999999999999997E-2</v>
      </c>
      <c r="J29" s="3">
        <v>0.112</v>
      </c>
      <c r="K29" s="3">
        <v>0.13500000000000001</v>
      </c>
      <c r="L29" s="3">
        <v>0.14099999999999999</v>
      </c>
      <c r="M29" s="3">
        <v>0.14099999999999999</v>
      </c>
      <c r="N29" s="3">
        <v>0.13400000000000001</v>
      </c>
      <c r="O29" s="3">
        <v>0.14899999999999999</v>
      </c>
      <c r="P29" s="3">
        <v>0.13800000000000001</v>
      </c>
      <c r="Q29" s="3">
        <v>0.14699999999999999</v>
      </c>
      <c r="R29" s="3">
        <v>0.14099999999999999</v>
      </c>
      <c r="S29" s="3">
        <v>0.13400000000000001</v>
      </c>
      <c r="T29" s="3">
        <v>0.11</v>
      </c>
      <c r="U29" s="3">
        <v>0.13200000000000001</v>
      </c>
      <c r="V29" s="3">
        <v>0.13700000000000001</v>
      </c>
      <c r="W29" s="3">
        <v>0.13800000000000001</v>
      </c>
      <c r="X29" s="3">
        <v>0.14199999999999999</v>
      </c>
      <c r="Y29" s="3">
        <v>0.13700000000000001</v>
      </c>
      <c r="Z29" s="3">
        <v>0.13500000000000001</v>
      </c>
      <c r="AA29" s="3">
        <v>0.13300000000000001</v>
      </c>
      <c r="AB29" s="3">
        <v>0.13400000000000001</v>
      </c>
      <c r="AC29" s="3">
        <v>0.11</v>
      </c>
      <c r="AD29" s="3">
        <v>4.9000000000000002E-2</v>
      </c>
      <c r="AE29" s="3">
        <v>0.14099999999999999</v>
      </c>
      <c r="AF29" s="3">
        <v>0.13600000000000001</v>
      </c>
      <c r="AG29" s="3">
        <v>0.13500000000000001</v>
      </c>
      <c r="AH29" s="3">
        <v>0.14499999999999999</v>
      </c>
      <c r="AI29" s="3">
        <v>0.13100000000000001</v>
      </c>
      <c r="AJ29" s="3">
        <v>0.14099999999999999</v>
      </c>
      <c r="AK29" s="3">
        <v>0.13400000000000001</v>
      </c>
      <c r="AL29" s="3">
        <v>0.13100000000000001</v>
      </c>
      <c r="AM29" s="3">
        <v>0.108</v>
      </c>
    </row>
    <row r="30" spans="1:41" x14ac:dyDescent="0.2">
      <c r="A30" s="2">
        <v>4.8958333333333336E-3</v>
      </c>
      <c r="B30" s="3">
        <v>0.14499999999999999</v>
      </c>
      <c r="C30" s="3">
        <v>0.14799999999999999</v>
      </c>
      <c r="D30" s="3">
        <v>0.14399999999999999</v>
      </c>
      <c r="E30" s="3">
        <v>0.14399999999999999</v>
      </c>
      <c r="F30" s="3">
        <v>0.13500000000000001</v>
      </c>
      <c r="G30" s="3">
        <v>0.154</v>
      </c>
      <c r="H30" s="3">
        <v>0.14599999999999999</v>
      </c>
      <c r="I30" s="3">
        <v>3.6999999999999998E-2</v>
      </c>
      <c r="J30" s="3">
        <v>0.112</v>
      </c>
      <c r="K30" s="3">
        <v>0.13700000000000001</v>
      </c>
      <c r="L30" s="3">
        <v>0.14299999999999999</v>
      </c>
      <c r="M30" s="3">
        <v>0.14299999999999999</v>
      </c>
      <c r="N30" s="3">
        <v>0.13500000000000001</v>
      </c>
      <c r="O30" s="3">
        <v>0.151</v>
      </c>
      <c r="P30" s="3">
        <v>0.14000000000000001</v>
      </c>
      <c r="Q30" s="3">
        <v>0.14899999999999999</v>
      </c>
      <c r="R30" s="3">
        <v>0.14199999999999999</v>
      </c>
      <c r="S30" s="3">
        <v>0.13600000000000001</v>
      </c>
      <c r="T30" s="3">
        <v>0.11</v>
      </c>
      <c r="U30" s="3">
        <v>0.13400000000000001</v>
      </c>
      <c r="V30" s="3">
        <v>0.13800000000000001</v>
      </c>
      <c r="W30" s="3">
        <v>0.13900000000000001</v>
      </c>
      <c r="X30" s="3">
        <v>0.14299999999999999</v>
      </c>
      <c r="Y30" s="3">
        <v>0.13800000000000001</v>
      </c>
      <c r="Z30" s="3">
        <v>0.13700000000000001</v>
      </c>
      <c r="AA30" s="3">
        <v>0.13400000000000001</v>
      </c>
      <c r="AB30" s="3">
        <v>0.13500000000000001</v>
      </c>
      <c r="AC30" s="3">
        <v>0.109</v>
      </c>
      <c r="AD30" s="3">
        <v>4.9000000000000002E-2</v>
      </c>
      <c r="AE30" s="3">
        <v>0.14199999999999999</v>
      </c>
      <c r="AF30" s="3">
        <v>0.13800000000000001</v>
      </c>
      <c r="AG30" s="3">
        <v>0.13600000000000001</v>
      </c>
      <c r="AH30" s="3">
        <v>0.14699999999999999</v>
      </c>
      <c r="AI30" s="3">
        <v>0.13200000000000001</v>
      </c>
      <c r="AJ30" s="3">
        <v>0.14199999999999999</v>
      </c>
      <c r="AK30" s="3">
        <v>0.13600000000000001</v>
      </c>
      <c r="AL30" s="3">
        <v>0.13200000000000001</v>
      </c>
      <c r="AM30" s="3">
        <v>0.108</v>
      </c>
    </row>
    <row r="31" spans="1:41" x14ac:dyDescent="0.2">
      <c r="A31" s="2">
        <v>5.4398148148148149E-3</v>
      </c>
      <c r="B31" s="3">
        <v>0.14699999999999999</v>
      </c>
      <c r="C31" s="3">
        <v>0.15</v>
      </c>
      <c r="D31" s="3">
        <v>0.14499999999999999</v>
      </c>
      <c r="E31" s="3">
        <v>0.14499999999999999</v>
      </c>
      <c r="F31" s="3">
        <v>0.13700000000000001</v>
      </c>
      <c r="G31" s="3">
        <v>0.155</v>
      </c>
      <c r="H31" s="3">
        <v>0.14799999999999999</v>
      </c>
      <c r="I31" s="3">
        <v>3.7999999999999999E-2</v>
      </c>
      <c r="J31" s="3">
        <v>0.112</v>
      </c>
      <c r="K31" s="3">
        <v>0.13900000000000001</v>
      </c>
      <c r="L31" s="3">
        <v>0.14499999999999999</v>
      </c>
      <c r="M31" s="3">
        <v>0.14599999999999999</v>
      </c>
      <c r="N31" s="3">
        <v>0.13600000000000001</v>
      </c>
      <c r="O31" s="3">
        <v>0.153</v>
      </c>
      <c r="P31" s="3">
        <v>0.14199999999999999</v>
      </c>
      <c r="Q31" s="3">
        <v>0.15</v>
      </c>
      <c r="R31" s="3">
        <v>0.14399999999999999</v>
      </c>
      <c r="S31" s="3">
        <v>0.13700000000000001</v>
      </c>
      <c r="T31" s="3">
        <v>0.109</v>
      </c>
      <c r="U31" s="3">
        <v>0.13500000000000001</v>
      </c>
      <c r="V31" s="3">
        <v>0.14000000000000001</v>
      </c>
      <c r="W31" s="3">
        <v>0.14099999999999999</v>
      </c>
      <c r="X31" s="3">
        <v>0.14499999999999999</v>
      </c>
      <c r="Y31" s="3">
        <v>0.14000000000000001</v>
      </c>
      <c r="Z31" s="3">
        <v>0.13800000000000001</v>
      </c>
      <c r="AA31" s="3">
        <v>0.13600000000000001</v>
      </c>
      <c r="AB31" s="3">
        <v>0.13700000000000001</v>
      </c>
      <c r="AC31" s="3">
        <v>0.109</v>
      </c>
      <c r="AD31" s="3">
        <v>4.9000000000000002E-2</v>
      </c>
      <c r="AE31" s="3">
        <v>0.14399999999999999</v>
      </c>
      <c r="AF31" s="3">
        <v>0.13900000000000001</v>
      </c>
      <c r="AG31" s="3">
        <v>0.13700000000000001</v>
      </c>
      <c r="AH31" s="3">
        <v>0.14899999999999999</v>
      </c>
      <c r="AI31" s="3">
        <v>0.13300000000000001</v>
      </c>
      <c r="AJ31" s="3">
        <v>0.14399999999999999</v>
      </c>
      <c r="AK31" s="3">
        <v>0.13700000000000001</v>
      </c>
      <c r="AL31" s="3">
        <v>0.13400000000000001</v>
      </c>
      <c r="AM31" s="3">
        <v>0.108</v>
      </c>
    </row>
    <row r="32" spans="1:41" x14ac:dyDescent="0.2">
      <c r="A32" s="2">
        <v>5.9837962962962961E-3</v>
      </c>
      <c r="B32" s="3">
        <v>0.14899999999999999</v>
      </c>
      <c r="C32" s="3">
        <v>0.152</v>
      </c>
      <c r="D32" s="3">
        <v>0.14799999999999999</v>
      </c>
      <c r="E32" s="3">
        <v>0.14799999999999999</v>
      </c>
      <c r="F32" s="3">
        <v>0.13900000000000001</v>
      </c>
      <c r="G32" s="3">
        <v>0.157</v>
      </c>
      <c r="H32" s="3">
        <v>0.15</v>
      </c>
      <c r="I32" s="3">
        <v>3.9E-2</v>
      </c>
      <c r="J32" s="3">
        <v>0.112</v>
      </c>
      <c r="K32" s="3">
        <v>0.14000000000000001</v>
      </c>
      <c r="L32" s="3">
        <v>0.14699999999999999</v>
      </c>
      <c r="M32" s="3">
        <v>0.14799999999999999</v>
      </c>
      <c r="N32" s="3">
        <v>0.13800000000000001</v>
      </c>
      <c r="O32" s="3">
        <v>0.156</v>
      </c>
      <c r="P32" s="3">
        <v>0.14399999999999999</v>
      </c>
      <c r="Q32" s="3">
        <v>0.153</v>
      </c>
      <c r="R32" s="3">
        <v>0.14599999999999999</v>
      </c>
      <c r="S32" s="3">
        <v>0.13900000000000001</v>
      </c>
      <c r="T32" s="3">
        <v>0.109</v>
      </c>
      <c r="U32" s="3">
        <v>0.13700000000000001</v>
      </c>
      <c r="V32" s="3">
        <v>0.14099999999999999</v>
      </c>
      <c r="W32" s="3">
        <v>0.14299999999999999</v>
      </c>
      <c r="X32" s="3">
        <v>0.14799999999999999</v>
      </c>
      <c r="Y32" s="3">
        <v>0.14199999999999999</v>
      </c>
      <c r="Z32" s="3">
        <v>0.14000000000000001</v>
      </c>
      <c r="AA32" s="3">
        <v>0.13700000000000001</v>
      </c>
      <c r="AB32" s="3">
        <v>0.13800000000000001</v>
      </c>
      <c r="AC32" s="3">
        <v>0.109</v>
      </c>
      <c r="AD32" s="3">
        <v>4.9000000000000002E-2</v>
      </c>
      <c r="AE32" s="3">
        <v>0.14599999999999999</v>
      </c>
      <c r="AF32" s="3">
        <v>0.14099999999999999</v>
      </c>
      <c r="AG32" s="3">
        <v>0.13700000000000001</v>
      </c>
      <c r="AH32" s="3">
        <v>0.151</v>
      </c>
      <c r="AI32" s="3">
        <v>0.13400000000000001</v>
      </c>
      <c r="AJ32" s="3">
        <v>0.14599999999999999</v>
      </c>
      <c r="AK32" s="3">
        <v>0.13900000000000001</v>
      </c>
      <c r="AL32" s="3">
        <v>0.13500000000000001</v>
      </c>
      <c r="AM32" s="3">
        <v>0.108</v>
      </c>
    </row>
    <row r="33" spans="1:41" x14ac:dyDescent="0.2">
      <c r="A33" s="2">
        <v>6.5277777777777782E-3</v>
      </c>
      <c r="B33" s="3">
        <v>0.151</v>
      </c>
      <c r="C33" s="3">
        <v>0.155</v>
      </c>
      <c r="D33" s="3">
        <v>0.15</v>
      </c>
      <c r="E33" s="3">
        <v>0.15</v>
      </c>
      <c r="F33" s="3">
        <v>0.14099999999999999</v>
      </c>
      <c r="G33" s="3">
        <v>0.158</v>
      </c>
      <c r="H33" s="3">
        <v>0.152</v>
      </c>
      <c r="I33" s="3">
        <v>0.04</v>
      </c>
      <c r="J33" s="3">
        <v>0.112</v>
      </c>
      <c r="K33" s="3">
        <v>0.14199999999999999</v>
      </c>
      <c r="L33" s="3">
        <v>0.14899999999999999</v>
      </c>
      <c r="M33" s="3">
        <v>0.15</v>
      </c>
      <c r="N33" s="3">
        <v>0.13900000000000001</v>
      </c>
      <c r="O33" s="3">
        <v>0.158</v>
      </c>
      <c r="P33" s="3">
        <v>0.14599999999999999</v>
      </c>
      <c r="Q33" s="3">
        <v>0.155</v>
      </c>
      <c r="R33" s="3">
        <v>0.14699999999999999</v>
      </c>
      <c r="S33" s="3">
        <v>0.14099999999999999</v>
      </c>
      <c r="T33" s="3">
        <v>0.11</v>
      </c>
      <c r="U33" s="3">
        <v>0.13800000000000001</v>
      </c>
      <c r="V33" s="3">
        <v>0.14299999999999999</v>
      </c>
      <c r="W33" s="3">
        <v>0.14499999999999999</v>
      </c>
      <c r="X33" s="3">
        <v>0.15</v>
      </c>
      <c r="Y33" s="3">
        <v>0.14399999999999999</v>
      </c>
      <c r="Z33" s="3">
        <v>0.14199999999999999</v>
      </c>
      <c r="AA33" s="3">
        <v>0.13900000000000001</v>
      </c>
      <c r="AB33" s="3">
        <v>0.14000000000000001</v>
      </c>
      <c r="AC33" s="3">
        <v>0.109</v>
      </c>
      <c r="AD33" s="3">
        <v>4.9000000000000002E-2</v>
      </c>
      <c r="AE33" s="3">
        <v>0.14899999999999999</v>
      </c>
      <c r="AF33" s="3">
        <v>0.14299999999999999</v>
      </c>
      <c r="AG33" s="3">
        <v>0.13800000000000001</v>
      </c>
      <c r="AH33" s="3">
        <v>0.154</v>
      </c>
      <c r="AI33" s="3">
        <v>0.13500000000000001</v>
      </c>
      <c r="AJ33" s="3">
        <v>0.14699999999999999</v>
      </c>
      <c r="AK33" s="3">
        <v>0.14099999999999999</v>
      </c>
      <c r="AL33" s="3">
        <v>0.13600000000000001</v>
      </c>
      <c r="AM33" s="3">
        <v>0.108</v>
      </c>
    </row>
    <row r="34" spans="1:41" x14ac:dyDescent="0.2">
      <c r="B34">
        <f>SLOPE(B27:B33,$A$27:$A$33)</f>
        <v>3.2826747720364771</v>
      </c>
      <c r="C34">
        <f t="shared" ref="C34:E34" si="1">SLOPE(C27:C33,$A$27:$A$33)</f>
        <v>3.8735562310030431</v>
      </c>
      <c r="D34">
        <f t="shared" si="1"/>
        <v>3.6765957446808453</v>
      </c>
      <c r="E34">
        <f t="shared" si="1"/>
        <v>3.7422492401215743</v>
      </c>
      <c r="F34">
        <f t="shared" ref="F34" si="2">SLOPE(F27:F33,$A$27:$A$33)</f>
        <v>2.7574468085106352</v>
      </c>
      <c r="G34">
        <f t="shared" ref="G34" si="3">SLOPE(G27:G33,$A$27:$A$33)</f>
        <v>2.560486322188452</v>
      </c>
      <c r="H34">
        <f t="shared" ref="H34" si="4">SLOPE(H27:H33,$A$27:$A$33)</f>
        <v>3.8735562310030374</v>
      </c>
      <c r="I34">
        <f t="shared" ref="I34" si="5">SLOPE(I27:I33,$A$27:$A$33)</f>
        <v>1.8382978723404249</v>
      </c>
      <c r="J34">
        <f>SLOPE(J27:J33,$A$27:$A$33)</f>
        <v>0</v>
      </c>
      <c r="K34">
        <f t="shared" ref="K34" si="6">SLOPE(K27:K33,$A$27:$A$33)</f>
        <v>3.0200607902735537</v>
      </c>
      <c r="L34">
        <f t="shared" ref="L34" si="7">SLOPE(L27:L33,$A$27:$A$33)</f>
        <v>3.6765957446808453</v>
      </c>
      <c r="M34">
        <f t="shared" ref="M34" si="8">SLOPE(M27:M33,$A$27:$A$33)</f>
        <v>3.7422492401215743</v>
      </c>
      <c r="N34">
        <f t="shared" ref="N34" si="9">SLOPE(N27:N33,$A$27:$A$33)</f>
        <v>2.1665653495440744</v>
      </c>
      <c r="O34">
        <f t="shared" ref="O34" si="10">SLOPE(O27:O33,$A$27:$A$33)</f>
        <v>3.8079027355623127</v>
      </c>
      <c r="P34">
        <f t="shared" ref="P34" si="11">SLOPE(P27:P33,$A$27:$A$33)</f>
        <v>3.1513677811550065</v>
      </c>
      <c r="Q34">
        <f t="shared" ref="Q34" si="12">SLOPE(Q27:Q33,$A$27:$A$33)</f>
        <v>3.4139817629179361</v>
      </c>
      <c r="R34">
        <f t="shared" ref="R34" si="13">SLOPE(R27:R33,$A$27:$A$33)</f>
        <v>3.0857142857142787</v>
      </c>
      <c r="S34">
        <f t="shared" ref="S34" si="14">SLOPE(S27:S33,$A$27:$A$33)</f>
        <v>2.9544072948328237</v>
      </c>
      <c r="T34">
        <f>SLOPE(T23:T29,$A$23:$A$29)</f>
        <v>0</v>
      </c>
      <c r="U34">
        <f t="shared" ref="U34" si="15">SLOPE(U27:U33,$A$27:$A$33)</f>
        <v>2.560486322188452</v>
      </c>
      <c r="V34">
        <f t="shared" ref="V34" si="16">SLOPE(V27:V33,$A$27:$A$33)</f>
        <v>2.7574468085106316</v>
      </c>
      <c r="W34">
        <f t="shared" ref="W34" si="17">SLOPE(W27:W33,$A$27:$A$33)</f>
        <v>3.0857142857142774</v>
      </c>
      <c r="X34">
        <f t="shared" ref="X34" si="18">SLOPE(X27:X33,$A$27:$A$33)</f>
        <v>3.6109422492401153</v>
      </c>
      <c r="Y34">
        <f t="shared" ref="Y34" si="19">SLOPE(Y27:Y33,$A$27:$A$33)</f>
        <v>3.0857142857142796</v>
      </c>
      <c r="Z34">
        <f t="shared" ref="Z34" si="20">SLOPE(Z27:Z33,$A$27:$A$33)</f>
        <v>2.7574468085106352</v>
      </c>
      <c r="AA34">
        <f t="shared" ref="AA34" si="21">SLOPE(AA27:AA33,$A$27:$A$33)</f>
        <v>2.4291793313069929</v>
      </c>
      <c r="AB34">
        <f t="shared" ref="AB34" si="22">SLOPE(AB27:AB33,$A$27:$A$33)</f>
        <v>2.7574468085106409</v>
      </c>
      <c r="AC34">
        <f>SLOPE(AC27:AC33,$A$27:$A$33)</f>
        <v>-0.26261398176291817</v>
      </c>
      <c r="AD34">
        <f t="shared" ref="AD34" si="23">SLOPE(AD27:AD33,$A$27:$A$33)</f>
        <v>-1.4527612281790543E-30</v>
      </c>
      <c r="AE34">
        <f t="shared" ref="AE34" si="24">SLOPE(AE27:AE33,$A$27:$A$33)</f>
        <v>3.4796352583586563</v>
      </c>
      <c r="AF34">
        <f t="shared" ref="AF34" si="25">SLOPE(AF27:AF33,$A$27:$A$33)</f>
        <v>2.9544072948328202</v>
      </c>
      <c r="AG34">
        <f t="shared" ref="AG34" si="26">SLOPE(AG27:AG33,$A$27:$A$33)</f>
        <v>1.5100303951367793</v>
      </c>
      <c r="AH34">
        <f t="shared" ref="AH34" si="27">SLOPE(AH27:AH33,$A$27:$A$33)</f>
        <v>3.8735562310030431</v>
      </c>
      <c r="AI34">
        <f t="shared" ref="AI34" si="28">SLOPE(AI27:AI33,$A$27:$A$33)</f>
        <v>1.8382978723404271</v>
      </c>
      <c r="AJ34">
        <f t="shared" ref="AJ34" si="29">SLOPE(AJ27:AJ33,$A$27:$A$33)</f>
        <v>2.8887537993920906</v>
      </c>
      <c r="AK34">
        <f t="shared" ref="AK34" si="30">SLOPE(AK27:AK33,$A$27:$A$33)</f>
        <v>2.7574468085106352</v>
      </c>
      <c r="AL34">
        <f t="shared" ref="AL34" si="31">SLOPE(AL27:AL33,$A$27:$A$33)</f>
        <v>2.2322188449848044</v>
      </c>
      <c r="AM34">
        <f>SLOPE(AM29:AM33,$A$29:$A$33)</f>
        <v>0</v>
      </c>
    </row>
    <row r="36" spans="1:41" x14ac:dyDescent="0.2">
      <c r="A36" t="s">
        <v>41</v>
      </c>
    </row>
    <row r="38" spans="1:4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39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Q38" s="1" t="s">
        <v>15</v>
      </c>
      <c r="R38" s="1" t="s">
        <v>16</v>
      </c>
      <c r="S38" s="1" t="s">
        <v>17</v>
      </c>
      <c r="T38" s="1" t="s">
        <v>18</v>
      </c>
      <c r="U38" s="1" t="s">
        <v>19</v>
      </c>
      <c r="V38" s="1" t="s">
        <v>20</v>
      </c>
      <c r="W38" s="1" t="s">
        <v>21</v>
      </c>
      <c r="X38" s="1" t="s">
        <v>22</v>
      </c>
      <c r="Y38" s="1" t="s">
        <v>23</v>
      </c>
      <c r="Z38" s="1" t="s">
        <v>24</v>
      </c>
      <c r="AA38" s="1" t="s">
        <v>25</v>
      </c>
      <c r="AB38" s="1" t="s">
        <v>26</v>
      </c>
      <c r="AC38" s="1" t="s">
        <v>27</v>
      </c>
      <c r="AD38" s="1" t="s">
        <v>28</v>
      </c>
      <c r="AE38" s="1" t="s">
        <v>29</v>
      </c>
      <c r="AF38" s="1" t="s">
        <v>30</v>
      </c>
      <c r="AG38" s="1" t="s">
        <v>31</v>
      </c>
      <c r="AH38" s="1" t="s">
        <v>32</v>
      </c>
      <c r="AI38" s="1" t="s">
        <v>33</v>
      </c>
      <c r="AJ38" s="1" t="s">
        <v>34</v>
      </c>
      <c r="AK38" s="1" t="s">
        <v>35</v>
      </c>
      <c r="AL38" s="1" t="s">
        <v>36</v>
      </c>
      <c r="AM38" s="1" t="s">
        <v>37</v>
      </c>
    </row>
    <row r="39" spans="1:41" x14ac:dyDescent="0.2">
      <c r="A39" s="2">
        <v>0</v>
      </c>
      <c r="B39" s="3">
        <v>0.13200000000000001</v>
      </c>
      <c r="C39" s="3">
        <v>0.13200000000000001</v>
      </c>
      <c r="D39" s="3">
        <v>0.13300000000000001</v>
      </c>
      <c r="E39" s="3">
        <v>0.126</v>
      </c>
      <c r="F39" s="3">
        <v>0.124</v>
      </c>
      <c r="G39" s="3">
        <v>0.13200000000000001</v>
      </c>
      <c r="H39" s="3">
        <v>0.13</v>
      </c>
      <c r="I39" s="3">
        <v>0.124</v>
      </c>
      <c r="J39" s="3">
        <v>0.114</v>
      </c>
      <c r="K39" s="3">
        <v>4.9000000000000002E-2</v>
      </c>
      <c r="L39" s="3">
        <v>0.128</v>
      </c>
      <c r="M39" s="3">
        <v>0.13100000000000001</v>
      </c>
      <c r="N39" s="3">
        <v>0.127</v>
      </c>
      <c r="O39" s="3">
        <v>0.13</v>
      </c>
      <c r="P39" s="3">
        <v>0.123</v>
      </c>
      <c r="Q39" s="3">
        <v>0.13</v>
      </c>
      <c r="R39" s="3">
        <v>0.13100000000000001</v>
      </c>
      <c r="S39" s="3">
        <v>0.121</v>
      </c>
      <c r="T39" s="3">
        <v>0.11700000000000001</v>
      </c>
      <c r="U39" s="3">
        <v>0.129</v>
      </c>
      <c r="V39" s="3">
        <v>0.12</v>
      </c>
      <c r="W39" s="3">
        <v>0.127</v>
      </c>
      <c r="X39" s="3">
        <v>0.127</v>
      </c>
      <c r="Y39" s="3">
        <v>0.126</v>
      </c>
      <c r="Z39" s="3">
        <v>0.122</v>
      </c>
      <c r="AA39" s="3">
        <v>0.127</v>
      </c>
      <c r="AB39" s="3">
        <v>0.123</v>
      </c>
      <c r="AC39" s="3">
        <v>0.114</v>
      </c>
      <c r="AD39" s="3">
        <v>4.9000000000000002E-2</v>
      </c>
      <c r="AE39" s="3">
        <v>0.13200000000000001</v>
      </c>
      <c r="AF39" s="3">
        <v>0.128</v>
      </c>
      <c r="AG39" s="3">
        <v>0.13</v>
      </c>
      <c r="AH39" s="3">
        <v>0.13300000000000001</v>
      </c>
      <c r="AI39" s="3">
        <v>0.122</v>
      </c>
      <c r="AJ39" s="3">
        <v>0.123</v>
      </c>
      <c r="AK39" s="3">
        <v>0.124</v>
      </c>
      <c r="AL39" s="3">
        <v>0.127</v>
      </c>
      <c r="AM39" s="3">
        <v>0.11600000000000001</v>
      </c>
      <c r="AO39" t="s">
        <v>57</v>
      </c>
    </row>
    <row r="40" spans="1:41" x14ac:dyDescent="0.2">
      <c r="A40" s="2">
        <v>5.4398148148148144E-4</v>
      </c>
      <c r="B40" s="3">
        <v>0.13200000000000001</v>
      </c>
      <c r="C40" s="3">
        <v>0.13300000000000001</v>
      </c>
      <c r="D40" s="3">
        <v>0.13400000000000001</v>
      </c>
      <c r="E40" s="3">
        <v>0.126</v>
      </c>
      <c r="F40" s="3">
        <v>0.125</v>
      </c>
      <c r="G40" s="3">
        <v>0.13800000000000001</v>
      </c>
      <c r="H40" s="3">
        <v>0.13100000000000001</v>
      </c>
      <c r="I40" s="3">
        <v>0.124</v>
      </c>
      <c r="J40" s="3">
        <v>0.114</v>
      </c>
      <c r="K40" s="3">
        <v>4.9000000000000002E-2</v>
      </c>
      <c r="L40" s="3">
        <v>0.13</v>
      </c>
      <c r="M40" s="3">
        <v>0.13300000000000001</v>
      </c>
      <c r="N40" s="3">
        <v>0.127</v>
      </c>
      <c r="O40" s="3">
        <v>0.13200000000000001</v>
      </c>
      <c r="P40" s="3">
        <v>0.125</v>
      </c>
      <c r="Q40" s="3">
        <v>0.13100000000000001</v>
      </c>
      <c r="R40" s="3">
        <v>0.13200000000000001</v>
      </c>
      <c r="S40" s="3">
        <v>0.122</v>
      </c>
      <c r="T40" s="3">
        <v>0.11700000000000001</v>
      </c>
      <c r="U40" s="3">
        <v>0.13</v>
      </c>
      <c r="V40" s="3">
        <v>0.12</v>
      </c>
      <c r="W40" s="3">
        <v>0.128</v>
      </c>
      <c r="X40" s="3">
        <v>0.129</v>
      </c>
      <c r="Y40" s="3">
        <v>0.127</v>
      </c>
      <c r="Z40" s="3">
        <v>0.123</v>
      </c>
      <c r="AA40" s="3">
        <v>0.127</v>
      </c>
      <c r="AB40" s="3">
        <v>0.124</v>
      </c>
      <c r="AC40" s="3">
        <v>0.115</v>
      </c>
      <c r="AD40" s="3">
        <v>4.9000000000000002E-2</v>
      </c>
      <c r="AE40" s="3">
        <v>0.13300000000000001</v>
      </c>
      <c r="AF40" s="3">
        <v>0.129</v>
      </c>
      <c r="AG40" s="3">
        <v>0.13</v>
      </c>
      <c r="AH40" s="3">
        <v>0.13400000000000001</v>
      </c>
      <c r="AI40" s="3">
        <v>0.123</v>
      </c>
      <c r="AJ40" s="3">
        <v>0.124</v>
      </c>
      <c r="AK40" s="3">
        <v>0.125</v>
      </c>
      <c r="AL40" s="3">
        <v>0.127</v>
      </c>
      <c r="AM40" s="3">
        <v>0.11600000000000001</v>
      </c>
      <c r="AO40">
        <f>AVERAGE(J52,T52,AC52,AM52)</f>
        <v>-4.1779497098646062E-2</v>
      </c>
    </row>
    <row r="41" spans="1:41" x14ac:dyDescent="0.2">
      <c r="A41" s="2">
        <v>1.0879629629629629E-3</v>
      </c>
      <c r="B41" s="3">
        <v>0.13300000000000001</v>
      </c>
      <c r="C41" s="3">
        <v>0.13400000000000001</v>
      </c>
      <c r="D41" s="3">
        <v>0.13600000000000001</v>
      </c>
      <c r="E41" s="3">
        <v>0.128</v>
      </c>
      <c r="F41" s="3">
        <v>0.126</v>
      </c>
      <c r="G41" s="3">
        <v>0.13700000000000001</v>
      </c>
      <c r="H41" s="3">
        <v>0.13200000000000001</v>
      </c>
      <c r="I41" s="3">
        <v>0.125</v>
      </c>
      <c r="J41" s="3">
        <v>0.114</v>
      </c>
      <c r="K41" s="3">
        <v>4.9000000000000002E-2</v>
      </c>
      <c r="L41" s="3">
        <v>0.13</v>
      </c>
      <c r="M41" s="3">
        <v>0.13400000000000001</v>
      </c>
      <c r="N41" s="3">
        <v>0.127</v>
      </c>
      <c r="O41" s="3">
        <v>0.13300000000000001</v>
      </c>
      <c r="P41" s="3">
        <v>0.126</v>
      </c>
      <c r="Q41" s="3">
        <v>0.13200000000000001</v>
      </c>
      <c r="R41" s="3">
        <v>0.13400000000000001</v>
      </c>
      <c r="S41" s="3">
        <v>0.122</v>
      </c>
      <c r="T41" s="3">
        <v>0.11700000000000001</v>
      </c>
      <c r="U41" s="3">
        <v>0.13100000000000001</v>
      </c>
      <c r="V41" s="3">
        <v>0.121</v>
      </c>
      <c r="W41" s="3">
        <v>0.129</v>
      </c>
      <c r="X41" s="3">
        <v>0.13</v>
      </c>
      <c r="Y41" s="3">
        <v>0.128</v>
      </c>
      <c r="Z41" s="3">
        <v>0.124</v>
      </c>
      <c r="AA41" s="3">
        <v>0.128</v>
      </c>
      <c r="AB41" s="3">
        <v>0.125</v>
      </c>
      <c r="AC41" s="3">
        <v>0.115</v>
      </c>
      <c r="AD41" s="3">
        <v>4.9000000000000002E-2</v>
      </c>
      <c r="AE41" s="3">
        <v>0.13500000000000001</v>
      </c>
      <c r="AF41" s="3">
        <v>0.13</v>
      </c>
      <c r="AG41" s="3">
        <v>0.13100000000000001</v>
      </c>
      <c r="AH41" s="3">
        <v>0.13600000000000001</v>
      </c>
      <c r="AI41" s="3">
        <v>0.123</v>
      </c>
      <c r="AJ41" s="3">
        <v>0.125</v>
      </c>
      <c r="AK41" s="3">
        <v>0.127</v>
      </c>
      <c r="AL41" s="3">
        <v>0.128</v>
      </c>
      <c r="AM41" s="3">
        <v>0.11600000000000001</v>
      </c>
    </row>
    <row r="42" spans="1:41" x14ac:dyDescent="0.2">
      <c r="A42" s="2">
        <v>1.6319444444444445E-3</v>
      </c>
      <c r="B42" s="3">
        <v>0.13400000000000001</v>
      </c>
      <c r="C42" s="3">
        <v>0.13500000000000001</v>
      </c>
      <c r="D42" s="3">
        <v>0.13700000000000001</v>
      </c>
      <c r="E42" s="3">
        <v>0.129</v>
      </c>
      <c r="F42" s="3">
        <v>0.127</v>
      </c>
      <c r="G42" s="3">
        <v>0.14000000000000001</v>
      </c>
      <c r="H42" s="3">
        <v>0.13300000000000001</v>
      </c>
      <c r="I42" s="3">
        <v>0.126</v>
      </c>
      <c r="J42" s="3">
        <v>0.114</v>
      </c>
      <c r="K42" s="3">
        <v>4.9000000000000002E-2</v>
      </c>
      <c r="L42" s="3">
        <v>0.13200000000000001</v>
      </c>
      <c r="M42" s="3">
        <v>0.13500000000000001</v>
      </c>
      <c r="N42" s="3">
        <v>0.128</v>
      </c>
      <c r="O42" s="3">
        <v>0.13400000000000001</v>
      </c>
      <c r="P42" s="3">
        <v>0.127</v>
      </c>
      <c r="Q42" s="3">
        <v>0.13300000000000001</v>
      </c>
      <c r="R42" s="3">
        <v>0.13500000000000001</v>
      </c>
      <c r="S42" s="3">
        <v>0.123</v>
      </c>
      <c r="T42" s="3">
        <v>0.11700000000000001</v>
      </c>
      <c r="U42" s="3">
        <v>0.13200000000000001</v>
      </c>
      <c r="V42" s="3">
        <v>0.122</v>
      </c>
      <c r="W42" s="3">
        <v>0.13</v>
      </c>
      <c r="X42" s="3">
        <v>0.13100000000000001</v>
      </c>
      <c r="Y42" s="3">
        <v>0.129</v>
      </c>
      <c r="Z42" s="3">
        <v>0.124</v>
      </c>
      <c r="AA42" s="3">
        <v>0.129</v>
      </c>
      <c r="AB42" s="3">
        <v>0.125</v>
      </c>
      <c r="AC42" s="3">
        <v>0.115</v>
      </c>
      <c r="AD42" s="3">
        <v>4.9000000000000002E-2</v>
      </c>
      <c r="AE42" s="3">
        <v>0.13600000000000001</v>
      </c>
      <c r="AF42" s="3">
        <v>0.13100000000000001</v>
      </c>
      <c r="AG42" s="3">
        <v>0.13200000000000001</v>
      </c>
      <c r="AH42" s="3">
        <v>0.13700000000000001</v>
      </c>
      <c r="AI42" s="3">
        <v>0.124</v>
      </c>
      <c r="AJ42" s="3">
        <v>0.125</v>
      </c>
      <c r="AK42" s="3">
        <v>0.127</v>
      </c>
      <c r="AL42" s="3">
        <v>0.129</v>
      </c>
      <c r="AM42" s="3">
        <v>0.11600000000000001</v>
      </c>
    </row>
    <row r="43" spans="1:41" x14ac:dyDescent="0.2">
      <c r="A43" s="2">
        <v>2.1759259259259258E-3</v>
      </c>
      <c r="B43" s="3">
        <v>0.13600000000000001</v>
      </c>
      <c r="C43" s="3">
        <v>0.13700000000000001</v>
      </c>
      <c r="D43" s="3">
        <v>0.13900000000000001</v>
      </c>
      <c r="E43" s="3">
        <v>0.13</v>
      </c>
      <c r="F43" s="3">
        <v>0.128</v>
      </c>
      <c r="G43" s="3">
        <v>0.13800000000000001</v>
      </c>
      <c r="H43" s="3">
        <v>0.13500000000000001</v>
      </c>
      <c r="I43" s="3">
        <v>0.127</v>
      </c>
      <c r="J43" s="3">
        <v>0.114</v>
      </c>
      <c r="K43" s="3">
        <v>4.9000000000000002E-2</v>
      </c>
      <c r="L43" s="3">
        <v>0.13300000000000001</v>
      </c>
      <c r="M43" s="3">
        <v>0.13700000000000001</v>
      </c>
      <c r="N43" s="3">
        <v>0.129</v>
      </c>
      <c r="O43" s="3">
        <v>0.13500000000000001</v>
      </c>
      <c r="P43" s="3">
        <v>0.128</v>
      </c>
      <c r="Q43" s="3">
        <v>0.13400000000000001</v>
      </c>
      <c r="R43" s="3">
        <v>0.13600000000000001</v>
      </c>
      <c r="S43" s="3">
        <v>0.124</v>
      </c>
      <c r="T43" s="3">
        <v>0.11799999999999999</v>
      </c>
      <c r="U43" s="3">
        <v>0.13300000000000001</v>
      </c>
      <c r="V43" s="3">
        <v>0.123</v>
      </c>
      <c r="W43" s="3">
        <v>0.13100000000000001</v>
      </c>
      <c r="X43" s="3">
        <v>0.13200000000000001</v>
      </c>
      <c r="Y43" s="3">
        <v>0.13</v>
      </c>
      <c r="Z43" s="3">
        <v>0.126</v>
      </c>
      <c r="AA43" s="3">
        <v>0.13</v>
      </c>
      <c r="AB43" s="3">
        <v>0.126</v>
      </c>
      <c r="AC43" s="3">
        <v>0.11600000000000001</v>
      </c>
      <c r="AD43" s="3">
        <v>4.9000000000000002E-2</v>
      </c>
      <c r="AE43" s="3">
        <v>0.13700000000000001</v>
      </c>
      <c r="AF43" s="3">
        <v>0.13200000000000001</v>
      </c>
      <c r="AG43" s="3">
        <v>0.13300000000000001</v>
      </c>
      <c r="AH43" s="3">
        <v>0.13800000000000001</v>
      </c>
      <c r="AI43" s="3">
        <v>0.125</v>
      </c>
      <c r="AJ43" s="3">
        <v>0.126</v>
      </c>
      <c r="AK43" s="3">
        <v>0.128</v>
      </c>
      <c r="AL43" s="3">
        <v>0.129</v>
      </c>
      <c r="AM43" s="3">
        <v>0.11600000000000001</v>
      </c>
    </row>
    <row r="44" spans="1:41" x14ac:dyDescent="0.2">
      <c r="A44" s="2">
        <v>2.7199074074074074E-3</v>
      </c>
      <c r="B44" s="3">
        <v>0.13700000000000001</v>
      </c>
      <c r="C44" s="3">
        <v>0.13800000000000001</v>
      </c>
      <c r="D44" s="3">
        <v>0.14000000000000001</v>
      </c>
      <c r="E44" s="3">
        <v>0.13200000000000001</v>
      </c>
      <c r="F44" s="3">
        <v>0.129</v>
      </c>
      <c r="G44" s="3">
        <v>0.14000000000000001</v>
      </c>
      <c r="H44" s="3">
        <v>0.13700000000000001</v>
      </c>
      <c r="I44" s="3">
        <v>0.128</v>
      </c>
      <c r="J44" s="3">
        <v>0.114</v>
      </c>
      <c r="K44" s="3">
        <v>4.9000000000000002E-2</v>
      </c>
      <c r="L44" s="3">
        <v>0.13500000000000001</v>
      </c>
      <c r="M44" s="3">
        <v>0.13900000000000001</v>
      </c>
      <c r="N44" s="3">
        <v>0.13</v>
      </c>
      <c r="O44" s="3">
        <v>0.13700000000000001</v>
      </c>
      <c r="P44" s="3">
        <v>0.129</v>
      </c>
      <c r="Q44" s="3">
        <v>0.13600000000000001</v>
      </c>
      <c r="R44" s="3">
        <v>0.13700000000000001</v>
      </c>
      <c r="S44" s="3">
        <v>0.125</v>
      </c>
      <c r="T44" s="3">
        <v>0.11700000000000001</v>
      </c>
      <c r="U44" s="3">
        <v>0.13500000000000001</v>
      </c>
      <c r="V44" s="3">
        <v>0.124</v>
      </c>
      <c r="W44" s="3">
        <v>0.13200000000000001</v>
      </c>
      <c r="X44" s="3">
        <v>0.13400000000000001</v>
      </c>
      <c r="Y44" s="3">
        <v>0.13200000000000001</v>
      </c>
      <c r="Z44" s="3">
        <v>0.127</v>
      </c>
      <c r="AA44" s="3">
        <v>0.13100000000000001</v>
      </c>
      <c r="AB44" s="3">
        <v>0.127</v>
      </c>
      <c r="AC44" s="3">
        <v>0.11600000000000001</v>
      </c>
      <c r="AD44" s="3">
        <v>4.9000000000000002E-2</v>
      </c>
      <c r="AE44" s="3">
        <v>0.13800000000000001</v>
      </c>
      <c r="AF44" s="3">
        <v>0.13400000000000001</v>
      </c>
      <c r="AG44" s="3">
        <v>0.13300000000000001</v>
      </c>
      <c r="AH44" s="3">
        <v>0.14000000000000001</v>
      </c>
      <c r="AI44" s="3">
        <v>0.125</v>
      </c>
      <c r="AJ44" s="3">
        <v>0.127</v>
      </c>
      <c r="AK44" s="3">
        <v>0.13</v>
      </c>
      <c r="AL44" s="3">
        <v>0.13</v>
      </c>
      <c r="AM44" s="3">
        <v>0.11600000000000001</v>
      </c>
    </row>
    <row r="45" spans="1:41" x14ac:dyDescent="0.2">
      <c r="A45" s="2">
        <v>3.2638888888888891E-3</v>
      </c>
      <c r="B45" s="3">
        <v>0.13900000000000001</v>
      </c>
      <c r="C45" s="3">
        <v>0.13900000000000001</v>
      </c>
      <c r="D45" s="3">
        <v>0.14199999999999999</v>
      </c>
      <c r="E45" s="3">
        <v>0.13400000000000001</v>
      </c>
      <c r="F45" s="3">
        <v>0.13100000000000001</v>
      </c>
      <c r="G45" s="3">
        <v>0.14099999999999999</v>
      </c>
      <c r="H45" s="3">
        <v>0.13900000000000001</v>
      </c>
      <c r="I45" s="3">
        <v>0.129</v>
      </c>
      <c r="J45" s="3">
        <v>0.114</v>
      </c>
      <c r="K45" s="3">
        <v>4.9000000000000002E-2</v>
      </c>
      <c r="L45" s="3">
        <v>0.13600000000000001</v>
      </c>
      <c r="M45" s="3">
        <v>0.14000000000000001</v>
      </c>
      <c r="N45" s="3">
        <v>0.13100000000000001</v>
      </c>
      <c r="O45" s="3">
        <v>0.13800000000000001</v>
      </c>
      <c r="P45" s="3">
        <v>0.13100000000000001</v>
      </c>
      <c r="Q45" s="3">
        <v>0.13700000000000001</v>
      </c>
      <c r="R45" s="3">
        <v>0.13800000000000001</v>
      </c>
      <c r="S45" s="3">
        <v>0.126</v>
      </c>
      <c r="T45" s="3">
        <v>0.11700000000000001</v>
      </c>
      <c r="U45" s="3">
        <v>0.13600000000000001</v>
      </c>
      <c r="V45" s="3">
        <v>0.125</v>
      </c>
      <c r="W45" s="3">
        <v>0.13300000000000001</v>
      </c>
      <c r="X45" s="3">
        <v>0.13600000000000001</v>
      </c>
      <c r="Y45" s="3">
        <v>0.13300000000000001</v>
      </c>
      <c r="Z45" s="3">
        <v>0.128</v>
      </c>
      <c r="AA45" s="3">
        <v>0.13200000000000001</v>
      </c>
      <c r="AB45" s="3">
        <v>0.128</v>
      </c>
      <c r="AC45" s="3">
        <v>0.11600000000000001</v>
      </c>
      <c r="AD45" s="3">
        <v>4.9000000000000002E-2</v>
      </c>
      <c r="AE45" s="3">
        <v>0.14000000000000001</v>
      </c>
      <c r="AF45" s="3">
        <v>0.13500000000000001</v>
      </c>
      <c r="AG45" s="3">
        <v>0.13400000000000001</v>
      </c>
      <c r="AH45" s="3">
        <v>0.14099999999999999</v>
      </c>
      <c r="AI45" s="3">
        <v>0.126</v>
      </c>
      <c r="AJ45" s="3">
        <v>0.128</v>
      </c>
      <c r="AK45" s="3">
        <v>0.13100000000000001</v>
      </c>
      <c r="AL45" s="3">
        <v>0.13100000000000001</v>
      </c>
      <c r="AM45" s="3">
        <v>0.11600000000000001</v>
      </c>
    </row>
    <row r="46" spans="1:41" x14ac:dyDescent="0.2">
      <c r="A46" s="2">
        <v>3.8078703703703703E-3</v>
      </c>
      <c r="B46" s="3">
        <v>0.14000000000000001</v>
      </c>
      <c r="C46" s="3">
        <v>0.14099999999999999</v>
      </c>
      <c r="D46" s="3">
        <v>0.14399999999999999</v>
      </c>
      <c r="E46" s="3">
        <v>0.13600000000000001</v>
      </c>
      <c r="F46" s="3">
        <v>0.13200000000000001</v>
      </c>
      <c r="G46" s="3">
        <v>0.14899999999999999</v>
      </c>
      <c r="H46" s="3">
        <v>0.14099999999999999</v>
      </c>
      <c r="I46" s="3">
        <v>0.13</v>
      </c>
      <c r="J46" s="3">
        <v>0.114</v>
      </c>
      <c r="K46" s="3">
        <v>4.9000000000000002E-2</v>
      </c>
      <c r="L46" s="3">
        <v>0.13800000000000001</v>
      </c>
      <c r="M46" s="3">
        <v>0.14099999999999999</v>
      </c>
      <c r="N46" s="3">
        <v>0.13200000000000001</v>
      </c>
      <c r="O46" s="3">
        <v>0.14000000000000001</v>
      </c>
      <c r="P46" s="3">
        <v>0.13200000000000001</v>
      </c>
      <c r="Q46" s="3">
        <v>0.13900000000000001</v>
      </c>
      <c r="R46" s="3">
        <v>0.14000000000000001</v>
      </c>
      <c r="S46" s="3">
        <v>0.127</v>
      </c>
      <c r="T46" s="3">
        <v>0.11700000000000001</v>
      </c>
      <c r="U46" s="3">
        <v>0.13800000000000001</v>
      </c>
      <c r="V46" s="3">
        <v>0.127</v>
      </c>
      <c r="W46" s="3">
        <v>0.13400000000000001</v>
      </c>
      <c r="X46" s="3">
        <v>0.13700000000000001</v>
      </c>
      <c r="Y46" s="3">
        <v>0.13400000000000001</v>
      </c>
      <c r="Z46" s="3">
        <v>0.129</v>
      </c>
      <c r="AA46" s="3">
        <v>0.13300000000000001</v>
      </c>
      <c r="AB46" s="3">
        <v>0.129</v>
      </c>
      <c r="AC46" s="3">
        <v>0.11600000000000001</v>
      </c>
      <c r="AD46" s="3">
        <v>4.9000000000000002E-2</v>
      </c>
      <c r="AE46" s="3">
        <v>0.14199999999999999</v>
      </c>
      <c r="AF46" s="3">
        <v>0.13600000000000001</v>
      </c>
      <c r="AG46" s="3">
        <v>0.13400000000000001</v>
      </c>
      <c r="AH46" s="3">
        <v>0.14299999999999999</v>
      </c>
      <c r="AI46" s="3">
        <v>0.127</v>
      </c>
      <c r="AJ46" s="3">
        <v>0.129</v>
      </c>
      <c r="AK46" s="3">
        <v>0.13200000000000001</v>
      </c>
      <c r="AL46" s="3">
        <v>0.13200000000000001</v>
      </c>
      <c r="AM46" s="3">
        <v>0.11600000000000001</v>
      </c>
    </row>
    <row r="47" spans="1:41" x14ac:dyDescent="0.2">
      <c r="A47" s="2">
        <v>4.3518518518518515E-3</v>
      </c>
      <c r="B47" s="3">
        <v>0.14199999999999999</v>
      </c>
      <c r="C47" s="3">
        <v>0.14299999999999999</v>
      </c>
      <c r="D47" s="3">
        <v>0.14599999999999999</v>
      </c>
      <c r="E47" s="3">
        <v>0.13700000000000001</v>
      </c>
      <c r="F47" s="3">
        <v>0.13300000000000001</v>
      </c>
      <c r="G47" s="3">
        <v>0.14799999999999999</v>
      </c>
      <c r="H47" s="3">
        <v>0.14299999999999999</v>
      </c>
      <c r="I47" s="3">
        <v>0.13200000000000001</v>
      </c>
      <c r="J47" s="3">
        <v>0.114</v>
      </c>
      <c r="K47" s="3">
        <v>4.9000000000000002E-2</v>
      </c>
      <c r="L47" s="3">
        <v>0.14000000000000001</v>
      </c>
      <c r="M47" s="3">
        <v>0.14299999999999999</v>
      </c>
      <c r="N47" s="3">
        <v>0.13400000000000001</v>
      </c>
      <c r="O47" s="3">
        <v>0.14099999999999999</v>
      </c>
      <c r="P47" s="3">
        <v>0.13300000000000001</v>
      </c>
      <c r="Q47" s="3">
        <v>0.14099999999999999</v>
      </c>
      <c r="R47" s="3">
        <v>0.14199999999999999</v>
      </c>
      <c r="S47" s="3">
        <v>0.128</v>
      </c>
      <c r="T47" s="3">
        <v>0.11700000000000001</v>
      </c>
      <c r="U47" s="3">
        <v>0.13900000000000001</v>
      </c>
      <c r="V47" s="3">
        <v>0.128</v>
      </c>
      <c r="W47" s="3">
        <v>0.13600000000000001</v>
      </c>
      <c r="X47" s="3">
        <v>0.13900000000000001</v>
      </c>
      <c r="Y47" s="3">
        <v>0.13500000000000001</v>
      </c>
      <c r="Z47" s="3">
        <v>0.13</v>
      </c>
      <c r="AA47" s="3">
        <v>0.13400000000000001</v>
      </c>
      <c r="AB47" s="3">
        <v>0.13100000000000001</v>
      </c>
      <c r="AC47" s="3">
        <v>0.115</v>
      </c>
      <c r="AD47" s="3">
        <v>4.9000000000000002E-2</v>
      </c>
      <c r="AE47" s="3">
        <v>0.14299999999999999</v>
      </c>
      <c r="AF47" s="3">
        <v>0.13800000000000001</v>
      </c>
      <c r="AG47" s="3">
        <v>0.13500000000000001</v>
      </c>
      <c r="AH47" s="3">
        <v>0.14499999999999999</v>
      </c>
      <c r="AI47" s="3">
        <v>0.127</v>
      </c>
      <c r="AJ47" s="3">
        <v>0.13</v>
      </c>
      <c r="AK47" s="3">
        <v>0.13300000000000001</v>
      </c>
      <c r="AL47" s="3">
        <v>0.13300000000000001</v>
      </c>
      <c r="AM47" s="3">
        <v>0.11600000000000001</v>
      </c>
    </row>
    <row r="48" spans="1:41" x14ac:dyDescent="0.2">
      <c r="A48" s="2">
        <v>4.8958333333333336E-3</v>
      </c>
      <c r="B48" s="3">
        <v>0.14399999999999999</v>
      </c>
      <c r="C48" s="3">
        <v>0.14499999999999999</v>
      </c>
      <c r="D48" s="3">
        <v>0.14799999999999999</v>
      </c>
      <c r="E48" s="3">
        <v>0.13900000000000001</v>
      </c>
      <c r="F48" s="3">
        <v>0.13500000000000001</v>
      </c>
      <c r="G48" s="3">
        <v>0.14799999999999999</v>
      </c>
      <c r="H48" s="3">
        <v>0.14499999999999999</v>
      </c>
      <c r="I48" s="3">
        <v>0.13300000000000001</v>
      </c>
      <c r="J48" s="3">
        <v>0.115</v>
      </c>
      <c r="K48" s="3">
        <v>4.9000000000000002E-2</v>
      </c>
      <c r="L48" s="3">
        <v>0.14199999999999999</v>
      </c>
      <c r="M48" s="3">
        <v>0.14499999999999999</v>
      </c>
      <c r="N48" s="3">
        <v>0.13400000000000001</v>
      </c>
      <c r="O48" s="3">
        <v>0.14299999999999999</v>
      </c>
      <c r="P48" s="3">
        <v>0.13500000000000001</v>
      </c>
      <c r="Q48" s="3">
        <v>0.14299999999999999</v>
      </c>
      <c r="R48" s="3">
        <v>0.14299999999999999</v>
      </c>
      <c r="S48" s="3">
        <v>0.129</v>
      </c>
      <c r="T48" s="3">
        <v>0.11700000000000001</v>
      </c>
      <c r="U48" s="3">
        <v>0.14099999999999999</v>
      </c>
      <c r="V48" s="3">
        <v>0.129</v>
      </c>
      <c r="W48" s="3">
        <v>0.13700000000000001</v>
      </c>
      <c r="X48" s="3">
        <v>0.14099999999999999</v>
      </c>
      <c r="Y48" s="3">
        <v>0.13700000000000001</v>
      </c>
      <c r="Z48" s="3">
        <v>0.13200000000000001</v>
      </c>
      <c r="AA48" s="3">
        <v>0.13600000000000001</v>
      </c>
      <c r="AB48" s="3">
        <v>0.13200000000000001</v>
      </c>
      <c r="AC48" s="3">
        <v>0.115</v>
      </c>
      <c r="AD48" s="3">
        <v>4.9000000000000002E-2</v>
      </c>
      <c r="AE48" s="3">
        <v>0.14499999999999999</v>
      </c>
      <c r="AF48" s="3">
        <v>0.13900000000000001</v>
      </c>
      <c r="AG48" s="3">
        <v>0.13600000000000001</v>
      </c>
      <c r="AH48" s="3">
        <v>0.14699999999999999</v>
      </c>
      <c r="AI48" s="3">
        <v>0.128</v>
      </c>
      <c r="AJ48" s="3">
        <v>0.13100000000000001</v>
      </c>
      <c r="AK48" s="3">
        <v>0.13500000000000001</v>
      </c>
      <c r="AL48" s="3">
        <v>0.13400000000000001</v>
      </c>
      <c r="AM48" s="3">
        <v>0.11600000000000001</v>
      </c>
    </row>
    <row r="49" spans="1:39" x14ac:dyDescent="0.2">
      <c r="A49" s="2">
        <v>5.4398148148148149E-3</v>
      </c>
      <c r="B49" s="3">
        <v>0.14499999999999999</v>
      </c>
      <c r="C49" s="3">
        <v>0.14699999999999999</v>
      </c>
      <c r="D49" s="3">
        <v>0.15</v>
      </c>
      <c r="E49" s="3">
        <v>0.14000000000000001</v>
      </c>
      <c r="F49" s="3">
        <v>0.13600000000000001</v>
      </c>
      <c r="G49" s="3">
        <v>0.15</v>
      </c>
      <c r="H49" s="3">
        <v>0.14699999999999999</v>
      </c>
      <c r="I49" s="3">
        <v>0.13500000000000001</v>
      </c>
      <c r="J49" s="3">
        <v>0.115</v>
      </c>
      <c r="K49" s="3">
        <v>4.9000000000000002E-2</v>
      </c>
      <c r="L49" s="3">
        <v>0.14399999999999999</v>
      </c>
      <c r="M49" s="3">
        <v>0.14699999999999999</v>
      </c>
      <c r="N49" s="3">
        <v>0.13600000000000001</v>
      </c>
      <c r="O49" s="3">
        <v>0.14499999999999999</v>
      </c>
      <c r="P49" s="3">
        <v>0.13700000000000001</v>
      </c>
      <c r="Q49" s="3">
        <v>0.14399999999999999</v>
      </c>
      <c r="R49" s="3">
        <v>0.14499999999999999</v>
      </c>
      <c r="S49" s="3">
        <v>0.13</v>
      </c>
      <c r="T49" s="3">
        <v>0.11700000000000001</v>
      </c>
      <c r="U49" s="3">
        <v>0.14199999999999999</v>
      </c>
      <c r="V49" s="3">
        <v>0.13100000000000001</v>
      </c>
      <c r="W49" s="3">
        <v>0.13900000000000001</v>
      </c>
      <c r="X49" s="3">
        <v>0.14299999999999999</v>
      </c>
      <c r="Y49" s="3">
        <v>0.13900000000000001</v>
      </c>
      <c r="Z49" s="3">
        <v>0.13300000000000001</v>
      </c>
      <c r="AA49" s="3">
        <v>0.13700000000000001</v>
      </c>
      <c r="AB49" s="3">
        <v>0.13300000000000001</v>
      </c>
      <c r="AC49" s="3">
        <v>0.115</v>
      </c>
      <c r="AD49" s="3">
        <v>4.9000000000000002E-2</v>
      </c>
      <c r="AE49" s="3">
        <v>0.14799999999999999</v>
      </c>
      <c r="AF49" s="3">
        <v>0.14099999999999999</v>
      </c>
      <c r="AG49" s="3">
        <v>0.13700000000000001</v>
      </c>
      <c r="AH49" s="3">
        <v>0.14899999999999999</v>
      </c>
      <c r="AI49" s="3">
        <v>0.13</v>
      </c>
      <c r="AJ49" s="3">
        <v>0.13200000000000001</v>
      </c>
      <c r="AK49" s="3">
        <v>0.13600000000000001</v>
      </c>
      <c r="AL49" s="3">
        <v>0.13500000000000001</v>
      </c>
      <c r="AM49" s="3">
        <v>0.11600000000000001</v>
      </c>
    </row>
    <row r="50" spans="1:39" x14ac:dyDescent="0.2">
      <c r="A50" s="2">
        <v>5.9837962962962961E-3</v>
      </c>
      <c r="B50" s="3">
        <v>0.14699999999999999</v>
      </c>
      <c r="C50" s="3">
        <v>0.14799999999999999</v>
      </c>
      <c r="D50" s="3">
        <v>0.152</v>
      </c>
      <c r="E50" s="3">
        <v>0.14199999999999999</v>
      </c>
      <c r="F50" s="3">
        <v>0.13800000000000001</v>
      </c>
      <c r="G50" s="3">
        <v>0.151</v>
      </c>
      <c r="H50" s="3">
        <v>0.14899999999999999</v>
      </c>
      <c r="I50" s="3">
        <v>0.13600000000000001</v>
      </c>
      <c r="J50" s="3">
        <v>0.114</v>
      </c>
      <c r="K50" s="3">
        <v>4.9000000000000002E-2</v>
      </c>
      <c r="L50" s="3">
        <v>0.14599999999999999</v>
      </c>
      <c r="M50" s="3">
        <v>0.14899999999999999</v>
      </c>
      <c r="N50" s="3">
        <v>0.13700000000000001</v>
      </c>
      <c r="O50" s="3">
        <v>0.14699999999999999</v>
      </c>
      <c r="P50" s="3">
        <v>0.13800000000000001</v>
      </c>
      <c r="Q50" s="3">
        <v>0.14699999999999999</v>
      </c>
      <c r="R50" s="3">
        <v>0.14699999999999999</v>
      </c>
      <c r="S50" s="3">
        <v>0.13200000000000001</v>
      </c>
      <c r="T50" s="3">
        <v>0.11700000000000001</v>
      </c>
      <c r="U50" s="3">
        <v>0.14399999999999999</v>
      </c>
      <c r="V50" s="3">
        <v>0.13200000000000001</v>
      </c>
      <c r="W50" s="3">
        <v>0.14000000000000001</v>
      </c>
      <c r="X50" s="3">
        <v>0.14499999999999999</v>
      </c>
      <c r="Y50" s="3">
        <v>0.14000000000000001</v>
      </c>
      <c r="Z50" s="3">
        <v>0.13400000000000001</v>
      </c>
      <c r="AA50" s="3">
        <v>0.13800000000000001</v>
      </c>
      <c r="AB50" s="3">
        <v>0.13500000000000001</v>
      </c>
      <c r="AC50" s="3">
        <v>0.114</v>
      </c>
      <c r="AD50" s="3">
        <v>4.9000000000000002E-2</v>
      </c>
      <c r="AE50" s="3">
        <v>0.15</v>
      </c>
      <c r="AF50" s="3">
        <v>0.14199999999999999</v>
      </c>
      <c r="AG50" s="3">
        <v>0.13700000000000001</v>
      </c>
      <c r="AH50" s="3">
        <v>0.151</v>
      </c>
      <c r="AI50" s="3">
        <v>0.13</v>
      </c>
      <c r="AJ50" s="3">
        <v>0.13300000000000001</v>
      </c>
      <c r="AK50" s="3">
        <v>0.13800000000000001</v>
      </c>
      <c r="AL50" s="3">
        <v>0.13700000000000001</v>
      </c>
      <c r="AM50" s="3">
        <v>0.11600000000000001</v>
      </c>
    </row>
    <row r="51" spans="1:39" x14ac:dyDescent="0.2">
      <c r="A51" s="2">
        <v>6.5277777777777782E-3</v>
      </c>
      <c r="B51" s="3">
        <v>0.14899999999999999</v>
      </c>
      <c r="C51" s="3">
        <v>0.15</v>
      </c>
      <c r="D51" s="3">
        <v>0.155</v>
      </c>
      <c r="E51" s="3">
        <v>0.14399999999999999</v>
      </c>
      <c r="F51" s="3">
        <v>0.14000000000000001</v>
      </c>
      <c r="G51" s="3">
        <v>0.153</v>
      </c>
      <c r="H51" s="3">
        <v>0.151</v>
      </c>
      <c r="I51" s="3">
        <v>0.13800000000000001</v>
      </c>
      <c r="J51" s="3">
        <v>0.115</v>
      </c>
      <c r="K51" s="3">
        <v>4.9000000000000002E-2</v>
      </c>
      <c r="L51" s="3">
        <v>0.14699999999999999</v>
      </c>
      <c r="M51" s="3">
        <v>0.151</v>
      </c>
      <c r="N51" s="3">
        <v>0.13900000000000001</v>
      </c>
      <c r="O51" s="3">
        <v>0.14899999999999999</v>
      </c>
      <c r="P51" s="3">
        <v>0.14000000000000001</v>
      </c>
      <c r="Q51" s="3">
        <v>0.14899999999999999</v>
      </c>
      <c r="R51" s="3">
        <v>0.14899999999999999</v>
      </c>
      <c r="S51" s="3">
        <v>0.13300000000000001</v>
      </c>
      <c r="T51" s="3">
        <v>0.11700000000000001</v>
      </c>
      <c r="U51" s="3">
        <v>0.14599999999999999</v>
      </c>
      <c r="V51" s="3">
        <v>0.13400000000000001</v>
      </c>
      <c r="W51" s="3">
        <v>0.14199999999999999</v>
      </c>
      <c r="X51" s="3">
        <v>0.14699999999999999</v>
      </c>
      <c r="Y51" s="3">
        <v>0.14199999999999999</v>
      </c>
      <c r="Z51" s="3">
        <v>0.13600000000000001</v>
      </c>
      <c r="AA51" s="3">
        <v>0.14000000000000001</v>
      </c>
      <c r="AB51" s="3">
        <v>0.13600000000000001</v>
      </c>
      <c r="AC51" s="3">
        <v>0.114</v>
      </c>
      <c r="AD51" s="3">
        <v>4.9000000000000002E-2</v>
      </c>
      <c r="AE51" s="3">
        <v>0.151</v>
      </c>
      <c r="AF51" s="3">
        <v>0.14299999999999999</v>
      </c>
      <c r="AG51" s="3">
        <v>0.13800000000000001</v>
      </c>
      <c r="AH51" s="3">
        <v>0.153</v>
      </c>
      <c r="AI51" s="3">
        <v>0.13200000000000001</v>
      </c>
      <c r="AJ51" s="3">
        <v>0.13500000000000001</v>
      </c>
      <c r="AK51" s="3">
        <v>0.14000000000000001</v>
      </c>
      <c r="AL51" s="3">
        <v>0.13800000000000001</v>
      </c>
      <c r="AM51" s="3">
        <v>0.115</v>
      </c>
    </row>
    <row r="52" spans="1:39" x14ac:dyDescent="0.2">
      <c r="B52">
        <f>SLOPE(B41:B51,$A$41:$A$51)</f>
        <v>2.9412765957446769</v>
      </c>
      <c r="C52">
        <f t="shared" ref="C52:I52" si="32">SLOPE(C41:C51,$A$41:$A$51)</f>
        <v>3.0081237911025105</v>
      </c>
      <c r="D52">
        <f t="shared" si="32"/>
        <v>3.4760541586073472</v>
      </c>
      <c r="E52">
        <f t="shared" si="32"/>
        <v>2.9914119922630542</v>
      </c>
      <c r="F52">
        <f t="shared" si="32"/>
        <v>2.5401934235976813</v>
      </c>
      <c r="G52">
        <f t="shared" si="32"/>
        <v>3.058259187620886</v>
      </c>
      <c r="H52">
        <f t="shared" si="32"/>
        <v>3.593036750483555</v>
      </c>
      <c r="I52">
        <f t="shared" si="32"/>
        <v>2.3730754352030972</v>
      </c>
      <c r="J52">
        <f t="shared" ref="J52" si="33">SLOPE(J41:J51,$A$41:$A$51)</f>
        <v>0.16711798839458433</v>
      </c>
      <c r="K52">
        <f t="shared" ref="K52" si="34">SLOPE(K41:K51,$A$41:$A$51)</f>
        <v>1.2942781851049758E-30</v>
      </c>
      <c r="L52">
        <f t="shared" ref="L52" si="35">SLOPE(L41:L51,$A$41:$A$51)</f>
        <v>3.2086653771760116</v>
      </c>
      <c r="M52">
        <f t="shared" ref="M52" si="36">SLOPE(M41:M51,$A$41:$A$51)</f>
        <v>3.1083945841392611</v>
      </c>
      <c r="N52">
        <f t="shared" ref="N52" si="37">SLOPE(N41:N51,$A$41:$A$51)</f>
        <v>2.1391102514506795</v>
      </c>
      <c r="O52">
        <f t="shared" ref="O52:P52" si="38">SLOPE(O41:O51,$A$41:$A$51)</f>
        <v>2.9579883945841354</v>
      </c>
      <c r="P52">
        <f t="shared" si="38"/>
        <v>2.5903288201160564</v>
      </c>
      <c r="Q52">
        <f t="shared" ref="Q52" si="39">SLOPE(Q41:Q51,$A$41:$A$51)</f>
        <v>3.1585299806576361</v>
      </c>
      <c r="R52">
        <f t="shared" ref="R52" si="40">SLOPE(R41:R51,$A$41:$A$51)</f>
        <v>2.7741586073500923</v>
      </c>
      <c r="S52">
        <f>SLOPE(S41:S51,$A$41:$A$51)</f>
        <v>1.9887040618955529</v>
      </c>
      <c r="T52">
        <f>SLOPE(T44:T51,$A$44:$A$51)</f>
        <v>0</v>
      </c>
      <c r="U52">
        <f t="shared" ref="U52" si="41">SLOPE(U41:U51,$A$41:$A$51)</f>
        <v>2.7574468085106347</v>
      </c>
      <c r="V52">
        <f t="shared" ref="V52" si="42">SLOPE(V41:V51,$A$41:$A$51)</f>
        <v>2.3730754352030963</v>
      </c>
      <c r="W52">
        <f t="shared" ref="W52" si="43">SLOPE(W41:W51,$A$41:$A$51)</f>
        <v>2.3730754352030949</v>
      </c>
      <c r="X52">
        <f t="shared" ref="X52" si="44">SLOPE(X41:X51,$A$41:$A$51)</f>
        <v>3.1919535783365536</v>
      </c>
      <c r="Y52">
        <f t="shared" ref="Y52" si="45">SLOPE(Y41:Y51,$A$41:$A$51)</f>
        <v>2.5569052224371376</v>
      </c>
      <c r="Z52">
        <f t="shared" ref="Z52" si="46">SLOPE(Z41:Z51,$A$41:$A$51)</f>
        <v>2.2226692456479706</v>
      </c>
      <c r="AA52">
        <f t="shared" ref="AA52" si="47">SLOPE(AA41:AA51,$A$41:$A$51)</f>
        <v>2.1558220502901375</v>
      </c>
      <c r="AB52">
        <f>SLOPE(AB41:AB51,$A$41:$A$51)</f>
        <v>2.1558220502901375</v>
      </c>
      <c r="AC52">
        <f t="shared" ref="AC52" si="48">SLOPE(AC41:AC51,$A$41:$A$51)</f>
        <v>-0.25067698259187643</v>
      </c>
      <c r="AD52">
        <f t="shared" ref="AD52" si="49">SLOPE(AD41:AD51,$A$41:$A$51)</f>
        <v>1.2942781851049758E-30</v>
      </c>
      <c r="AE52">
        <f t="shared" ref="AE52" si="50">SLOPE(AE41:AE51,$A$41:$A$51)</f>
        <v>3.1083945841392611</v>
      </c>
      <c r="AF52">
        <f t="shared" ref="AF52" si="51">SLOPE(AF41:AF51,$A$41:$A$51)</f>
        <v>2.4900580270793005</v>
      </c>
      <c r="AG52">
        <f t="shared" ref="AG52" si="52">SLOPE(AG41:AG51,$A$41:$A$51)</f>
        <v>1.2366731141199239</v>
      </c>
      <c r="AH52">
        <f t="shared" ref="AH52" si="53">SLOPE(AH41:AH51,$A$41:$A$51)</f>
        <v>3.2086653771760121</v>
      </c>
      <c r="AI52">
        <f t="shared" ref="AI52" si="54">SLOPE(AI41:AI51,$A$41:$A$51)</f>
        <v>1.5207736943907171</v>
      </c>
      <c r="AJ52">
        <f t="shared" ref="AJ52" si="55">SLOPE(AJ41:AJ51,$A$41:$A$51)</f>
        <v>1.8382978723404271</v>
      </c>
      <c r="AK52">
        <f t="shared" ref="AK52" si="56">SLOPE(AK41:AK51,$A$41:$A$51)</f>
        <v>2.4232108317214722</v>
      </c>
      <c r="AL52">
        <f t="shared" ref="AL52" si="57">SLOPE(AL41:AL51,$A$41:$A$51)</f>
        <v>1.8382978723404273</v>
      </c>
      <c r="AM52">
        <f t="shared" ref="AM52" si="58">SLOPE(AM41:AM51,$A$41:$A$51)</f>
        <v>-8.3558994197292152E-2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final_data</vt:lpstr>
      <vt:lpstr>BSA</vt:lpstr>
      <vt:lpstr>24C</vt:lpstr>
      <vt:lpstr>16C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Lab</dc:creator>
  <cp:lastModifiedBy>Sanjana Venkatesh</cp:lastModifiedBy>
  <dcterms:created xsi:type="dcterms:W3CDTF">2025-09-17T14:37:01Z</dcterms:created>
  <dcterms:modified xsi:type="dcterms:W3CDTF">2025-11-13T22:39:30Z</dcterms:modified>
</cp:coreProperties>
</file>